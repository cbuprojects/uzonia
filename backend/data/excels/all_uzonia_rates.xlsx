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Администратор\Desktop\IT_projects\uzonia\backend\data\excels\"/>
    </mc:Choice>
  </mc:AlternateContent>
  <xr:revisionPtr revIDLastSave="0" documentId="13_ncr:1_{349BFDB2-8DAD-4A55-AED4-7F5DD0EADCB5}" xr6:coauthVersionLast="47" xr6:coauthVersionMax="47" xr10:uidLastSave="{00000000-0000-0000-0000-000000000000}"/>
  <bookViews>
    <workbookView showHorizontalScroll="0" showVerticalScroll="0" showSheetTabs="0" xWindow="40995" yWindow="3630" windowWidth="25065" windowHeight="13065" xr2:uid="{00000000-000D-0000-FFFF-FFFF00000000}"/>
  </bookViews>
  <sheets>
    <sheet name="Лист1" sheetId="4" r:id="rId1"/>
    <sheet name="Лист2" sheetId="5" r:id="rId2"/>
  </sheets>
  <definedNames>
    <definedName name="_xlnm._FilterDatabase" localSheetId="0" hidden="1">Лист1!$A$1:$G$1097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4" i="4" s="1"/>
  <c r="D5" i="4" s="1"/>
  <c r="D6" i="4" s="1"/>
  <c r="E3" i="4"/>
  <c r="E4" i="4"/>
  <c r="E5" i="4" s="1"/>
  <c r="E6" i="4" s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D7" i="4" l="1"/>
  <c r="D8" i="4" s="1"/>
  <c r="D9" i="4" s="1"/>
  <c r="D10" i="4" s="1"/>
  <c r="E7" i="4"/>
  <c r="E8" i="4" s="1"/>
  <c r="E9" i="4" s="1"/>
  <c r="E10" i="4" s="1"/>
  <c r="E11" i="4" s="1"/>
  <c r="G10" i="4" l="1"/>
  <c r="D11" i="4"/>
  <c r="E13" i="4"/>
  <c r="E14" i="4"/>
  <c r="E15" i="4" s="1"/>
  <c r="E16" i="4" s="1"/>
  <c r="E17" i="4" s="1"/>
  <c r="E18" i="4" s="1"/>
  <c r="E12" i="4"/>
  <c r="E20" i="4" l="1"/>
  <c r="E21" i="4"/>
  <c r="E22" i="4" s="1"/>
  <c r="E23" i="4" s="1"/>
  <c r="E24" i="4" s="1"/>
  <c r="E25" i="4" s="1"/>
  <c r="E19" i="4"/>
  <c r="G11" i="4"/>
  <c r="D13" i="4"/>
  <c r="G13" i="4" s="1"/>
  <c r="D12" i="4"/>
  <c r="G12" i="4" s="1"/>
  <c r="D14" i="4"/>
  <c r="E27" i="4" l="1"/>
  <c r="E26" i="4"/>
  <c r="E28" i="4"/>
  <c r="E29" i="4" s="1"/>
  <c r="E30" i="4" s="1"/>
  <c r="E31" i="4" s="1"/>
  <c r="E32" i="4" s="1"/>
  <c r="G14" i="4"/>
  <c r="D15" i="4"/>
  <c r="G15" i="4" l="1"/>
  <c r="D16" i="4"/>
  <c r="E35" i="4"/>
  <c r="E36" i="4" s="1"/>
  <c r="E37" i="4" s="1"/>
  <c r="E38" i="4" s="1"/>
  <c r="E39" i="4" s="1"/>
  <c r="E34" i="4"/>
  <c r="E33" i="4"/>
  <c r="E42" i="4" l="1"/>
  <c r="E43" i="4" s="1"/>
  <c r="E44" i="4" s="1"/>
  <c r="E45" i="4" s="1"/>
  <c r="E46" i="4" s="1"/>
  <c r="E41" i="4"/>
  <c r="E40" i="4"/>
  <c r="G16" i="4"/>
  <c r="D17" i="4"/>
  <c r="E48" i="4" l="1"/>
  <c r="E47" i="4"/>
  <c r="E49" i="4"/>
  <c r="E50" i="4" s="1"/>
  <c r="E51" i="4" s="1"/>
  <c r="E52" i="4" s="1"/>
  <c r="E53" i="4" s="1"/>
  <c r="G17" i="4"/>
  <c r="D18" i="4"/>
  <c r="G18" i="4" l="1"/>
  <c r="D19" i="4"/>
  <c r="G19" i="4" s="1"/>
  <c r="D21" i="4"/>
  <c r="D20" i="4"/>
  <c r="G20" i="4" s="1"/>
  <c r="E56" i="4"/>
  <c r="E57" i="4" s="1"/>
  <c r="E58" i="4" s="1"/>
  <c r="E59" i="4" s="1"/>
  <c r="E60" i="4" s="1"/>
  <c r="E54" i="4"/>
  <c r="E55" i="4"/>
  <c r="E61" i="4" l="1"/>
  <c r="E63" i="4"/>
  <c r="E62" i="4"/>
  <c r="G21" i="4"/>
  <c r="D22" i="4"/>
  <c r="E64" i="4" l="1"/>
  <c r="E65" i="4"/>
  <c r="E66" i="4" s="1"/>
  <c r="E67" i="4" s="1"/>
  <c r="G22" i="4"/>
  <c r="D23" i="4"/>
  <c r="E68" i="4" l="1"/>
  <c r="E69" i="4"/>
  <c r="E70" i="4"/>
  <c r="E71" i="4" s="1"/>
  <c r="E72" i="4" s="1"/>
  <c r="E73" i="4" s="1"/>
  <c r="E74" i="4" s="1"/>
  <c r="G23" i="4"/>
  <c r="D24" i="4"/>
  <c r="G24" i="4" l="1"/>
  <c r="D25" i="4"/>
  <c r="E78" i="4"/>
  <c r="E79" i="4"/>
  <c r="E75" i="4"/>
  <c r="E80" i="4"/>
  <c r="E81" i="4" s="1"/>
  <c r="E76" i="4"/>
  <c r="E77" i="4"/>
  <c r="G25" i="4" l="1"/>
  <c r="D26" i="4"/>
  <c r="G26" i="4" s="1"/>
  <c r="D27" i="4"/>
  <c r="G27" i="4" s="1"/>
  <c r="D28" i="4"/>
  <c r="E84" i="4"/>
  <c r="E85" i="4" s="1"/>
  <c r="E86" i="4" s="1"/>
  <c r="E87" i="4" s="1"/>
  <c r="E88" i="4" s="1"/>
  <c r="E83" i="4"/>
  <c r="E82" i="4"/>
  <c r="E91" i="4" l="1"/>
  <c r="E92" i="4" s="1"/>
  <c r="E93" i="4" s="1"/>
  <c r="E94" i="4" s="1"/>
  <c r="E95" i="4" s="1"/>
  <c r="E89" i="4"/>
  <c r="E90" i="4"/>
  <c r="G28" i="4"/>
  <c r="D29" i="4"/>
  <c r="G29" i="4" l="1"/>
  <c r="D30" i="4"/>
  <c r="E96" i="4"/>
  <c r="E97" i="4"/>
  <c r="E98" i="4"/>
  <c r="E99" i="4" s="1"/>
  <c r="E100" i="4" s="1"/>
  <c r="E101" i="4" s="1"/>
  <c r="E102" i="4" s="1"/>
  <c r="G30" i="4" l="1"/>
  <c r="D31" i="4"/>
  <c r="E104" i="4"/>
  <c r="E103" i="4"/>
  <c r="E105" i="4"/>
  <c r="E106" i="4" s="1"/>
  <c r="E107" i="4" s="1"/>
  <c r="E108" i="4" s="1"/>
  <c r="E109" i="4" s="1"/>
  <c r="G31" i="4" l="1"/>
  <c r="D32" i="4"/>
  <c r="E111" i="4"/>
  <c r="E110" i="4"/>
  <c r="E112" i="4"/>
  <c r="E113" i="4" s="1"/>
  <c r="E114" i="4" s="1"/>
  <c r="E115" i="4" s="1"/>
  <c r="E116" i="4" s="1"/>
  <c r="E117" i="4" s="1"/>
  <c r="E118" i="4" l="1"/>
  <c r="E122" i="4"/>
  <c r="E123" i="4" s="1"/>
  <c r="E124" i="4" s="1"/>
  <c r="E119" i="4"/>
  <c r="E121" i="4"/>
  <c r="E120" i="4"/>
  <c r="H32" i="4"/>
  <c r="G32" i="4"/>
  <c r="D34" i="4"/>
  <c r="D33" i="4"/>
  <c r="D35" i="4"/>
  <c r="H34" i="4" l="1"/>
  <c r="G34" i="4"/>
  <c r="G35" i="4"/>
  <c r="H35" i="4"/>
  <c r="D36" i="4"/>
  <c r="E127" i="4"/>
  <c r="E128" i="4" s="1"/>
  <c r="E129" i="4" s="1"/>
  <c r="E130" i="4" s="1"/>
  <c r="E125" i="4"/>
  <c r="E126" i="4"/>
  <c r="H33" i="4"/>
  <c r="G33" i="4"/>
  <c r="E132" i="4" l="1"/>
  <c r="E131" i="4"/>
  <c r="E133" i="4"/>
  <c r="E134" i="4" s="1"/>
  <c r="E135" i="4" s="1"/>
  <c r="E136" i="4" s="1"/>
  <c r="E137" i="4" s="1"/>
  <c r="H36" i="4"/>
  <c r="G36" i="4"/>
  <c r="D37" i="4"/>
  <c r="G37" i="4" l="1"/>
  <c r="H37" i="4"/>
  <c r="D38" i="4"/>
  <c r="E138" i="4"/>
  <c r="E139" i="4"/>
  <c r="E140" i="4"/>
  <c r="E141" i="4" s="1"/>
  <c r="E142" i="4" s="1"/>
  <c r="E143" i="4" s="1"/>
  <c r="E144" i="4" s="1"/>
  <c r="E146" i="4" l="1"/>
  <c r="E147" i="4"/>
  <c r="E148" i="4" s="1"/>
  <c r="E149" i="4" s="1"/>
  <c r="E150" i="4" s="1"/>
  <c r="E151" i="4" s="1"/>
  <c r="E145" i="4"/>
  <c r="H38" i="4"/>
  <c r="G38" i="4"/>
  <c r="D39" i="4"/>
  <c r="E153" i="4" l="1"/>
  <c r="E152" i="4"/>
  <c r="E154" i="4"/>
  <c r="E155" i="4" s="1"/>
  <c r="E156" i="4" s="1"/>
  <c r="E157" i="4" s="1"/>
  <c r="E158" i="4" s="1"/>
  <c r="H39" i="4"/>
  <c r="D41" i="4"/>
  <c r="G39" i="4"/>
  <c r="D42" i="4"/>
  <c r="D40" i="4"/>
  <c r="H10" i="5"/>
  <c r="H9" i="5"/>
  <c r="H8" i="5"/>
  <c r="H7" i="5"/>
  <c r="H6" i="5"/>
  <c r="G41" i="4" l="1"/>
  <c r="H41" i="4"/>
  <c r="H42" i="4"/>
  <c r="G42" i="4"/>
  <c r="D43" i="4"/>
  <c r="E160" i="4"/>
  <c r="E161" i="4"/>
  <c r="E162" i="4" s="1"/>
  <c r="E163" i="4" s="1"/>
  <c r="E164" i="4" s="1"/>
  <c r="E165" i="4" s="1"/>
  <c r="E159" i="4"/>
  <c r="H40" i="4"/>
  <c r="G40" i="4"/>
  <c r="H11" i="5"/>
  <c r="I12" i="5" s="1"/>
  <c r="J12" i="5" s="1"/>
  <c r="E168" i="4" l="1"/>
  <c r="E169" i="4" s="1"/>
  <c r="E170" i="4" s="1"/>
  <c r="E171" i="4" s="1"/>
  <c r="E172" i="4" s="1"/>
  <c r="E166" i="4"/>
  <c r="E167" i="4"/>
  <c r="H43" i="4"/>
  <c r="G43" i="4"/>
  <c r="D44" i="4"/>
  <c r="G44" i="4" l="1"/>
  <c r="H44" i="4"/>
  <c r="D45" i="4"/>
  <c r="E174" i="4"/>
  <c r="E173" i="4"/>
  <c r="E175" i="4"/>
  <c r="E176" i="4" s="1"/>
  <c r="E177" i="4" s="1"/>
  <c r="E178" i="4" s="1"/>
  <c r="E179" i="4" s="1"/>
  <c r="E182" i="4" l="1"/>
  <c r="E183" i="4" s="1"/>
  <c r="E184" i="4" s="1"/>
  <c r="E185" i="4" s="1"/>
  <c r="E186" i="4" s="1"/>
  <c r="E180" i="4"/>
  <c r="E181" i="4"/>
  <c r="G45" i="4"/>
  <c r="D46" i="4"/>
  <c r="H45" i="4"/>
  <c r="G46" i="4" l="1"/>
  <c r="H46" i="4"/>
  <c r="D47" i="4"/>
  <c r="D48" i="4"/>
  <c r="D49" i="4"/>
  <c r="E188" i="4"/>
  <c r="E189" i="4"/>
  <c r="E190" i="4"/>
  <c r="E187" i="4"/>
  <c r="E191" i="4"/>
  <c r="E192" i="4" s="1"/>
  <c r="E193" i="4" s="1"/>
  <c r="E194" i="4" s="1"/>
  <c r="E195" i="4" l="1"/>
  <c r="E196" i="4"/>
  <c r="E197" i="4" s="1"/>
  <c r="E198" i="4" s="1"/>
  <c r="E199" i="4" s="1"/>
  <c r="E200" i="4" s="1"/>
  <c r="H49" i="4"/>
  <c r="G49" i="4"/>
  <c r="D50" i="4"/>
  <c r="G48" i="4"/>
  <c r="H48" i="4"/>
  <c r="H47" i="4"/>
  <c r="G47" i="4"/>
  <c r="G50" i="4" l="1"/>
  <c r="H50" i="4"/>
  <c r="D51" i="4"/>
  <c r="E203" i="4"/>
  <c r="E204" i="4" s="1"/>
  <c r="E205" i="4" s="1"/>
  <c r="E206" i="4" s="1"/>
  <c r="E207" i="4" s="1"/>
  <c r="E201" i="4"/>
  <c r="E202" i="4"/>
  <c r="E209" i="4" l="1"/>
  <c r="E208" i="4"/>
  <c r="E210" i="4"/>
  <c r="E211" i="4" s="1"/>
  <c r="E212" i="4" s="1"/>
  <c r="E213" i="4" s="1"/>
  <c r="E214" i="4" s="1"/>
  <c r="G51" i="4"/>
  <c r="H51" i="4"/>
  <c r="D52" i="4"/>
  <c r="G52" i="4" l="1"/>
  <c r="D53" i="4"/>
  <c r="H52" i="4"/>
  <c r="E217" i="4"/>
  <c r="E218" i="4" s="1"/>
  <c r="E219" i="4" s="1"/>
  <c r="E220" i="4" s="1"/>
  <c r="E221" i="4" s="1"/>
  <c r="E215" i="4"/>
  <c r="E216" i="4"/>
  <c r="G53" i="4" l="1"/>
  <c r="H53" i="4"/>
  <c r="D56" i="4"/>
  <c r="D54" i="4"/>
  <c r="D55" i="4"/>
  <c r="E222" i="4"/>
  <c r="E223" i="4"/>
  <c r="E224" i="4"/>
  <c r="E225" i="4" s="1"/>
  <c r="E226" i="4" s="1"/>
  <c r="E227" i="4" s="1"/>
  <c r="E228" i="4" s="1"/>
  <c r="E231" i="4" l="1"/>
  <c r="E232" i="4" s="1"/>
  <c r="E233" i="4" s="1"/>
  <c r="E234" i="4" s="1"/>
  <c r="E235" i="4" s="1"/>
  <c r="E230" i="4"/>
  <c r="E229" i="4"/>
  <c r="H55" i="4"/>
  <c r="G55" i="4"/>
  <c r="G54" i="4"/>
  <c r="H54" i="4"/>
  <c r="H56" i="4"/>
  <c r="D57" i="4"/>
  <c r="G56" i="4"/>
  <c r="G57" i="4" l="1"/>
  <c r="H57" i="4"/>
  <c r="D58" i="4"/>
  <c r="E238" i="4"/>
  <c r="E239" i="4" s="1"/>
  <c r="E240" i="4" s="1"/>
  <c r="E237" i="4"/>
  <c r="E236" i="4"/>
  <c r="E244" i="4" l="1"/>
  <c r="E245" i="4"/>
  <c r="E246" i="4" s="1"/>
  <c r="E247" i="4" s="1"/>
  <c r="E248" i="4" s="1"/>
  <c r="E249" i="4" s="1"/>
  <c r="E243" i="4"/>
  <c r="E241" i="4"/>
  <c r="E242" i="4"/>
  <c r="G58" i="4"/>
  <c r="H58" i="4"/>
  <c r="D59" i="4"/>
  <c r="H59" i="4" l="1"/>
  <c r="D60" i="4"/>
  <c r="G59" i="4"/>
  <c r="E252" i="4"/>
  <c r="E253" i="4" s="1"/>
  <c r="E254" i="4" s="1"/>
  <c r="E255" i="4" s="1"/>
  <c r="E256" i="4" s="1"/>
  <c r="E250" i="4"/>
  <c r="E251" i="4"/>
  <c r="G60" i="4" l="1"/>
  <c r="H60" i="4"/>
  <c r="D61" i="4"/>
  <c r="D62" i="4"/>
  <c r="D63" i="4"/>
  <c r="E258" i="4"/>
  <c r="E259" i="4"/>
  <c r="E260" i="4" s="1"/>
  <c r="E261" i="4" s="1"/>
  <c r="E262" i="4" s="1"/>
  <c r="E263" i="4" s="1"/>
  <c r="E257" i="4"/>
  <c r="E265" i="4" l="1"/>
  <c r="E264" i="4"/>
  <c r="E266" i="4"/>
  <c r="E267" i="4" s="1"/>
  <c r="E268" i="4" s="1"/>
  <c r="E269" i="4" s="1"/>
  <c r="E270" i="4" s="1"/>
  <c r="H63" i="4"/>
  <c r="G63" i="4"/>
  <c r="D65" i="4"/>
  <c r="D64" i="4"/>
  <c r="H62" i="4"/>
  <c r="G62" i="4"/>
  <c r="H61" i="4"/>
  <c r="G61" i="4"/>
  <c r="H64" i="4" l="1"/>
  <c r="G64" i="4"/>
  <c r="G65" i="4"/>
  <c r="H65" i="4"/>
  <c r="D66" i="4"/>
  <c r="E272" i="4"/>
  <c r="E273" i="4"/>
  <c r="E274" i="4" s="1"/>
  <c r="E275" i="4" s="1"/>
  <c r="E276" i="4" s="1"/>
  <c r="E277" i="4" s="1"/>
  <c r="E271" i="4"/>
  <c r="G66" i="4" l="1"/>
  <c r="H66" i="4"/>
  <c r="D67" i="4"/>
  <c r="E278" i="4"/>
  <c r="E279" i="4"/>
  <c r="E280" i="4"/>
  <c r="E281" i="4" s="1"/>
  <c r="E282" i="4" s="1"/>
  <c r="E283" i="4" s="1"/>
  <c r="E284" i="4" s="1"/>
  <c r="E287" i="4" l="1"/>
  <c r="E288" i="4" s="1"/>
  <c r="E289" i="4" s="1"/>
  <c r="E290" i="4" s="1"/>
  <c r="E291" i="4" s="1"/>
  <c r="E285" i="4"/>
  <c r="E286" i="4"/>
  <c r="G67" i="4"/>
  <c r="H67" i="4"/>
  <c r="D70" i="4"/>
  <c r="D69" i="4"/>
  <c r="D68" i="4"/>
  <c r="G70" i="4" l="1"/>
  <c r="H70" i="4"/>
  <c r="D71" i="4"/>
  <c r="G69" i="4"/>
  <c r="H69" i="4"/>
  <c r="G68" i="4"/>
  <c r="H68" i="4"/>
  <c r="E292" i="4"/>
  <c r="E293" i="4"/>
  <c r="E294" i="4"/>
  <c r="E295" i="4" s="1"/>
  <c r="E296" i="4" s="1"/>
  <c r="E297" i="4" s="1"/>
  <c r="E298" i="4" s="1"/>
  <c r="E300" i="4" l="1"/>
  <c r="E301" i="4"/>
  <c r="E302" i="4" s="1"/>
  <c r="E303" i="4" s="1"/>
  <c r="E304" i="4" s="1"/>
  <c r="E305" i="4" s="1"/>
  <c r="E299" i="4"/>
  <c r="G71" i="4"/>
  <c r="H71" i="4"/>
  <c r="D72" i="4"/>
  <c r="E306" i="4" l="1"/>
  <c r="E307" i="4"/>
  <c r="E308" i="4"/>
  <c r="E309" i="4" s="1"/>
  <c r="E310" i="4" s="1"/>
  <c r="E311" i="4" s="1"/>
  <c r="E312" i="4" s="1"/>
  <c r="G72" i="4"/>
  <c r="H72" i="4"/>
  <c r="D73" i="4"/>
  <c r="G73" i="4" l="1"/>
  <c r="H73" i="4"/>
  <c r="D74" i="4"/>
  <c r="E313" i="4"/>
  <c r="E314" i="4"/>
  <c r="E315" i="4"/>
  <c r="E316" i="4" s="1"/>
  <c r="E317" i="4" s="1"/>
  <c r="E318" i="4" s="1"/>
  <c r="E319" i="4" s="1"/>
  <c r="E321" i="4" l="1"/>
  <c r="E320" i="4"/>
  <c r="E322" i="4"/>
  <c r="E323" i="4" s="1"/>
  <c r="E324" i="4" s="1"/>
  <c r="E325" i="4" s="1"/>
  <c r="E326" i="4" s="1"/>
  <c r="H74" i="4"/>
  <c r="D77" i="4"/>
  <c r="D78" i="4"/>
  <c r="G74" i="4"/>
  <c r="D79" i="4"/>
  <c r="D80" i="4"/>
  <c r="D76" i="4"/>
  <c r="D75" i="4"/>
  <c r="G76" i="4" l="1"/>
  <c r="H76" i="4"/>
  <c r="G80" i="4"/>
  <c r="H80" i="4"/>
  <c r="D81" i="4"/>
  <c r="G75" i="4"/>
  <c r="H75" i="4"/>
  <c r="G79" i="4"/>
  <c r="H79" i="4"/>
  <c r="G78" i="4"/>
  <c r="H78" i="4"/>
  <c r="H77" i="4"/>
  <c r="G77" i="4"/>
  <c r="E329" i="4"/>
  <c r="E330" i="4" s="1"/>
  <c r="E331" i="4" s="1"/>
  <c r="E332" i="4" s="1"/>
  <c r="E333" i="4" s="1"/>
  <c r="E328" i="4"/>
  <c r="E327" i="4"/>
  <c r="E334" i="4" l="1"/>
  <c r="E336" i="4"/>
  <c r="E337" i="4" s="1"/>
  <c r="E335" i="4"/>
  <c r="G81" i="4"/>
  <c r="H81" i="4"/>
  <c r="D83" i="4"/>
  <c r="D84" i="4"/>
  <c r="D82" i="4"/>
  <c r="H82" i="4" l="1"/>
  <c r="G82" i="4"/>
  <c r="H84" i="4"/>
  <c r="G84" i="4"/>
  <c r="D85" i="4"/>
  <c r="H83" i="4"/>
  <c r="G83" i="4"/>
  <c r="E338" i="4"/>
  <c r="E340" i="4" s="1"/>
  <c r="E339" i="4"/>
  <c r="E343" i="4" l="1"/>
  <c r="E344" i="4" s="1"/>
  <c r="E345" i="4" s="1"/>
  <c r="E346" i="4" s="1"/>
  <c r="E347" i="4" s="1"/>
  <c r="E341" i="4"/>
  <c r="E342" i="4"/>
  <c r="G85" i="4"/>
  <c r="H85" i="4"/>
  <c r="D86" i="4"/>
  <c r="H86" i="4" l="1"/>
  <c r="G86" i="4"/>
  <c r="D87" i="4"/>
  <c r="E350" i="4"/>
  <c r="E351" i="4" s="1"/>
  <c r="E352" i="4" s="1"/>
  <c r="E353" i="4" s="1"/>
  <c r="E354" i="4" s="1"/>
  <c r="E349" i="4"/>
  <c r="E348" i="4"/>
  <c r="E356" i="4" l="1"/>
  <c r="E355" i="4"/>
  <c r="E357" i="4"/>
  <c r="E358" i="4" s="1"/>
  <c r="E359" i="4" s="1"/>
  <c r="E360" i="4" s="1"/>
  <c r="E361" i="4" s="1"/>
  <c r="G87" i="4"/>
  <c r="D88" i="4"/>
  <c r="H87" i="4"/>
  <c r="G88" i="4" l="1"/>
  <c r="H88" i="4"/>
  <c r="D89" i="4"/>
  <c r="D90" i="4"/>
  <c r="D91" i="4"/>
  <c r="E366" i="4"/>
  <c r="E367" i="4" s="1"/>
  <c r="E368" i="4" s="1"/>
  <c r="E369" i="4" s="1"/>
  <c r="E362" i="4"/>
  <c r="E363" i="4"/>
  <c r="E370" i="4" l="1"/>
  <c r="E371" i="4"/>
  <c r="E372" i="4" s="1"/>
  <c r="E373" i="4" s="1"/>
  <c r="E374" i="4" s="1"/>
  <c r="E375" i="4" s="1"/>
  <c r="E365" i="4"/>
  <c r="E364" i="4"/>
  <c r="G91" i="4"/>
  <c r="H91" i="4"/>
  <c r="D92" i="4"/>
  <c r="H90" i="4"/>
  <c r="G90" i="4"/>
  <c r="H89" i="4"/>
  <c r="G89" i="4"/>
  <c r="I92" i="4" l="1"/>
  <c r="G92" i="4"/>
  <c r="H92" i="4"/>
  <c r="D93" i="4"/>
  <c r="E377" i="4"/>
  <c r="E378" i="4"/>
  <c r="E379" i="4" s="1"/>
  <c r="E380" i="4" s="1"/>
  <c r="E381" i="4" s="1"/>
  <c r="E382" i="4" s="1"/>
  <c r="E376" i="4"/>
  <c r="E385" i="4" l="1"/>
  <c r="E386" i="4" s="1"/>
  <c r="E387" i="4" s="1"/>
  <c r="E388" i="4" s="1"/>
  <c r="E389" i="4" s="1"/>
  <c r="E384" i="4"/>
  <c r="E383" i="4"/>
  <c r="G93" i="4"/>
  <c r="I93" i="4"/>
  <c r="H93" i="4"/>
  <c r="D94" i="4"/>
  <c r="G94" i="4" l="1"/>
  <c r="I94" i="4"/>
  <c r="D95" i="4"/>
  <c r="H94" i="4"/>
  <c r="E390" i="4"/>
  <c r="E392" i="4"/>
  <c r="E393" i="4" s="1"/>
  <c r="E394" i="4" s="1"/>
  <c r="E395" i="4" s="1"/>
  <c r="E396" i="4" s="1"/>
  <c r="E391" i="4"/>
  <c r="E399" i="4" l="1"/>
  <c r="E400" i="4" s="1"/>
  <c r="E401" i="4" s="1"/>
  <c r="E402" i="4" s="1"/>
  <c r="E403" i="4" s="1"/>
  <c r="E397" i="4"/>
  <c r="E398" i="4"/>
  <c r="H95" i="4"/>
  <c r="I95" i="4"/>
  <c r="G95" i="4"/>
  <c r="D97" i="4"/>
  <c r="D96" i="4"/>
  <c r="D98" i="4"/>
  <c r="I97" i="4" l="1"/>
  <c r="G97" i="4"/>
  <c r="H97" i="4"/>
  <c r="D99" i="4"/>
  <c r="I98" i="4"/>
  <c r="G98" i="4"/>
  <c r="H98" i="4"/>
  <c r="G96" i="4"/>
  <c r="H96" i="4"/>
  <c r="I96" i="4"/>
  <c r="E404" i="4"/>
  <c r="E406" i="4"/>
  <c r="E407" i="4" s="1"/>
  <c r="E408" i="4" s="1"/>
  <c r="E409" i="4" s="1"/>
  <c r="E410" i="4" s="1"/>
  <c r="E405" i="4"/>
  <c r="E411" i="4" l="1"/>
  <c r="E413" i="4"/>
  <c r="E414" i="4" s="1"/>
  <c r="E415" i="4" s="1"/>
  <c r="E416" i="4" s="1"/>
  <c r="E417" i="4" s="1"/>
  <c r="E412" i="4"/>
  <c r="G99" i="4"/>
  <c r="H99" i="4"/>
  <c r="I99" i="4"/>
  <c r="D100" i="4"/>
  <c r="I100" i="4" l="1"/>
  <c r="D101" i="4"/>
  <c r="H100" i="4"/>
  <c r="G100" i="4"/>
  <c r="E419" i="4"/>
  <c r="E420" i="4"/>
  <c r="E421" i="4" s="1"/>
  <c r="E422" i="4" s="1"/>
  <c r="E423" i="4" s="1"/>
  <c r="E424" i="4" s="1"/>
  <c r="E418" i="4"/>
  <c r="G101" i="4" l="1"/>
  <c r="H101" i="4"/>
  <c r="I101" i="4"/>
  <c r="D102" i="4"/>
  <c r="E427" i="4"/>
  <c r="E425" i="4"/>
  <c r="E426" i="4"/>
  <c r="G102" i="4" l="1"/>
  <c r="H102" i="4"/>
  <c r="I102" i="4"/>
  <c r="D103" i="4"/>
  <c r="D104" i="4"/>
  <c r="D105" i="4"/>
  <c r="E429" i="4"/>
  <c r="E428" i="4"/>
  <c r="E430" i="4" s="1"/>
  <c r="E431" i="4" s="1"/>
  <c r="E433" i="4" l="1"/>
  <c r="E432" i="4"/>
  <c r="E434" i="4" s="1"/>
  <c r="E435" i="4" s="1"/>
  <c r="E436" i="4" s="1"/>
  <c r="E437" i="4" s="1"/>
  <c r="E438" i="4" s="1"/>
  <c r="G105" i="4"/>
  <c r="H105" i="4"/>
  <c r="I105" i="4"/>
  <c r="D106" i="4"/>
  <c r="H104" i="4"/>
  <c r="I104" i="4"/>
  <c r="G104" i="4"/>
  <c r="I103" i="4"/>
  <c r="H103" i="4"/>
  <c r="G103" i="4"/>
  <c r="G106" i="4" l="1"/>
  <c r="H106" i="4"/>
  <c r="I106" i="4"/>
  <c r="D107" i="4"/>
  <c r="E439" i="4"/>
  <c r="E440" i="4"/>
  <c r="E444" i="4"/>
  <c r="E445" i="4" s="1"/>
  <c r="E447" i="4" l="1"/>
  <c r="E446" i="4"/>
  <c r="E448" i="4" s="1"/>
  <c r="E449" i="4" s="1"/>
  <c r="E450" i="4" s="1"/>
  <c r="E451" i="4" s="1"/>
  <c r="E452" i="4" s="1"/>
  <c r="E441" i="4"/>
  <c r="E442" i="4"/>
  <c r="E443" i="4" s="1"/>
  <c r="G107" i="4"/>
  <c r="I107" i="4"/>
  <c r="H107" i="4"/>
  <c r="D108" i="4"/>
  <c r="E453" i="4" l="1"/>
  <c r="E454" i="4"/>
  <c r="E455" i="4"/>
  <c r="E456" i="4" s="1"/>
  <c r="E457" i="4" s="1"/>
  <c r="E458" i="4" s="1"/>
  <c r="E459" i="4" s="1"/>
  <c r="G108" i="4"/>
  <c r="I108" i="4"/>
  <c r="H108" i="4"/>
  <c r="D109" i="4"/>
  <c r="H109" i="4" l="1"/>
  <c r="D111" i="4"/>
  <c r="D112" i="4"/>
  <c r="G109" i="4"/>
  <c r="I109" i="4"/>
  <c r="D110" i="4"/>
  <c r="E460" i="4"/>
  <c r="E462" i="4"/>
  <c r="E463" i="4" s="1"/>
  <c r="E464" i="4" s="1"/>
  <c r="E465" i="4" s="1"/>
  <c r="E466" i="4" s="1"/>
  <c r="E461" i="4"/>
  <c r="E468" i="4" l="1"/>
  <c r="E469" i="4"/>
  <c r="E470" i="4" s="1"/>
  <c r="E471" i="4" s="1"/>
  <c r="E472" i="4" s="1"/>
  <c r="E467" i="4"/>
  <c r="G111" i="4"/>
  <c r="H111" i="4"/>
  <c r="I111" i="4"/>
  <c r="G110" i="4"/>
  <c r="H110" i="4"/>
  <c r="I110" i="4"/>
  <c r="H112" i="4"/>
  <c r="I112" i="4"/>
  <c r="G112" i="4"/>
  <c r="D113" i="4"/>
  <c r="G113" i="4" l="1"/>
  <c r="H113" i="4"/>
  <c r="I113" i="4"/>
  <c r="D114" i="4"/>
  <c r="E474" i="4"/>
  <c r="E473" i="4"/>
  <c r="E477" i="4"/>
  <c r="E478" i="4" s="1"/>
  <c r="E479" i="4" s="1"/>
  <c r="E480" i="4" s="1"/>
  <c r="E483" i="4" l="1"/>
  <c r="E484" i="4" s="1"/>
  <c r="E485" i="4" s="1"/>
  <c r="E486" i="4" s="1"/>
  <c r="E487" i="4" s="1"/>
  <c r="E481" i="4"/>
  <c r="E482" i="4"/>
  <c r="E475" i="4"/>
  <c r="E476" i="4"/>
  <c r="H114" i="4"/>
  <c r="D115" i="4"/>
  <c r="G114" i="4"/>
  <c r="I114" i="4"/>
  <c r="G115" i="4" l="1"/>
  <c r="H115" i="4"/>
  <c r="D116" i="4"/>
  <c r="I115" i="4"/>
  <c r="E488" i="4"/>
  <c r="E490" i="4"/>
  <c r="E489" i="4"/>
  <c r="E492" i="4" l="1"/>
  <c r="E493" i="4" s="1"/>
  <c r="E494" i="4" s="1"/>
  <c r="E491" i="4"/>
  <c r="G116" i="4"/>
  <c r="H116" i="4"/>
  <c r="I116" i="4"/>
  <c r="D117" i="4"/>
  <c r="I117" i="4" l="1"/>
  <c r="G117" i="4"/>
  <c r="H117" i="4"/>
  <c r="D121" i="4"/>
  <c r="D119" i="4"/>
  <c r="D120" i="4"/>
  <c r="D122" i="4"/>
  <c r="D118" i="4"/>
  <c r="E497" i="4"/>
  <c r="E498" i="4" s="1"/>
  <c r="E499" i="4" s="1"/>
  <c r="E500" i="4" s="1"/>
  <c r="E501" i="4" s="1"/>
  <c r="E496" i="4"/>
  <c r="E495" i="4"/>
  <c r="H118" i="4" l="1"/>
  <c r="I118" i="4"/>
  <c r="G118" i="4"/>
  <c r="E502" i="4"/>
  <c r="E503" i="4"/>
  <c r="E504" i="4"/>
  <c r="E505" i="4" s="1"/>
  <c r="E506" i="4" s="1"/>
  <c r="E507" i="4" s="1"/>
  <c r="E508" i="4" s="1"/>
  <c r="G122" i="4"/>
  <c r="I122" i="4"/>
  <c r="D123" i="4"/>
  <c r="H122" i="4"/>
  <c r="G120" i="4"/>
  <c r="H120" i="4"/>
  <c r="I120" i="4"/>
  <c r="G119" i="4"/>
  <c r="I119" i="4"/>
  <c r="H119" i="4"/>
  <c r="H121" i="4"/>
  <c r="I121" i="4"/>
  <c r="G121" i="4"/>
  <c r="H123" i="4" l="1"/>
  <c r="I123" i="4"/>
  <c r="G123" i="4"/>
  <c r="D124" i="4"/>
  <c r="E510" i="4"/>
  <c r="E509" i="4"/>
  <c r="E511" i="4"/>
  <c r="E512" i="4" s="1"/>
  <c r="E513" i="4" s="1"/>
  <c r="E514" i="4" s="1"/>
  <c r="E515" i="4" s="1"/>
  <c r="E516" i="4" l="1"/>
  <c r="E518" i="4"/>
  <c r="E519" i="4" s="1"/>
  <c r="E520" i="4" s="1"/>
  <c r="E521" i="4" s="1"/>
  <c r="E522" i="4" s="1"/>
  <c r="E517" i="4"/>
  <c r="G124" i="4"/>
  <c r="H124" i="4"/>
  <c r="I124" i="4"/>
  <c r="D127" i="4"/>
  <c r="D125" i="4"/>
  <c r="D126" i="4"/>
  <c r="G127" i="4" l="1"/>
  <c r="H127" i="4"/>
  <c r="I127" i="4"/>
  <c r="D128" i="4"/>
  <c r="H126" i="4"/>
  <c r="I126" i="4"/>
  <c r="G126" i="4"/>
  <c r="H125" i="4"/>
  <c r="G125" i="4"/>
  <c r="I125" i="4"/>
  <c r="E523" i="4"/>
  <c r="E525" i="4"/>
  <c r="E526" i="4" s="1"/>
  <c r="E527" i="4" s="1"/>
  <c r="E528" i="4" s="1"/>
  <c r="E529" i="4" s="1"/>
  <c r="E524" i="4"/>
  <c r="E530" i="4" l="1"/>
  <c r="E532" i="4"/>
  <c r="E533" i="4" s="1"/>
  <c r="E534" i="4" s="1"/>
  <c r="E535" i="4" s="1"/>
  <c r="E536" i="4" s="1"/>
  <c r="E531" i="4"/>
  <c r="H128" i="4"/>
  <c r="G128" i="4"/>
  <c r="I128" i="4"/>
  <c r="D129" i="4"/>
  <c r="G129" i="4" l="1"/>
  <c r="H129" i="4"/>
  <c r="I129" i="4"/>
  <c r="D130" i="4"/>
  <c r="E539" i="4"/>
  <c r="E540" i="4" s="1"/>
  <c r="E537" i="4"/>
  <c r="E538" i="4"/>
  <c r="E546" i="4" l="1"/>
  <c r="E547" i="4" s="1"/>
  <c r="E548" i="4" s="1"/>
  <c r="E549" i="4" s="1"/>
  <c r="E550" i="4" s="1"/>
  <c r="E541" i="4"/>
  <c r="E542" i="4"/>
  <c r="D132" i="4"/>
  <c r="I130" i="4"/>
  <c r="G130" i="4"/>
  <c r="H130" i="4"/>
  <c r="D133" i="4"/>
  <c r="D131" i="4"/>
  <c r="I131" i="4" l="1"/>
  <c r="G131" i="4"/>
  <c r="H131" i="4"/>
  <c r="I133" i="4"/>
  <c r="G133" i="4"/>
  <c r="H133" i="4"/>
  <c r="D134" i="4"/>
  <c r="H132" i="4"/>
  <c r="G132" i="4"/>
  <c r="I132" i="4"/>
  <c r="E543" i="4"/>
  <c r="E544" i="4"/>
  <c r="E545" i="4" s="1"/>
  <c r="E552" i="4"/>
  <c r="E551" i="4"/>
  <c r="E553" i="4"/>
  <c r="E554" i="4" s="1"/>
  <c r="E555" i="4" s="1"/>
  <c r="E556" i="4" s="1"/>
  <c r="E557" i="4" s="1"/>
  <c r="E560" i="4" l="1"/>
  <c r="E561" i="4" s="1"/>
  <c r="E562" i="4" s="1"/>
  <c r="E563" i="4" s="1"/>
  <c r="E564" i="4" s="1"/>
  <c r="E559" i="4"/>
  <c r="E558" i="4"/>
  <c r="G134" i="4"/>
  <c r="H134" i="4"/>
  <c r="I134" i="4"/>
  <c r="D135" i="4"/>
  <c r="G135" i="4" l="1"/>
  <c r="I135" i="4"/>
  <c r="H135" i="4"/>
  <c r="D136" i="4"/>
  <c r="E565" i="4"/>
  <c r="E566" i="4"/>
  <c r="E567" i="4"/>
  <c r="E568" i="4" s="1"/>
  <c r="E569" i="4" s="1"/>
  <c r="E570" i="4" s="1"/>
  <c r="E571" i="4" s="1"/>
  <c r="E573" i="4" l="1"/>
  <c r="E574" i="4"/>
  <c r="E575" i="4" s="1"/>
  <c r="E576" i="4" s="1"/>
  <c r="E577" i="4" s="1"/>
  <c r="E578" i="4" s="1"/>
  <c r="E572" i="4"/>
  <c r="G136" i="4"/>
  <c r="I136" i="4"/>
  <c r="H136" i="4"/>
  <c r="D137" i="4"/>
  <c r="E580" i="4" l="1"/>
  <c r="E579" i="4"/>
  <c r="E581" i="4"/>
  <c r="E582" i="4" s="1"/>
  <c r="E583" i="4" s="1"/>
  <c r="E584" i="4" s="1"/>
  <c r="E585" i="4" s="1"/>
  <c r="G137" i="4"/>
  <c r="H137" i="4"/>
  <c r="I137" i="4"/>
  <c r="D138" i="4"/>
  <c r="D140" i="4"/>
  <c r="D139" i="4"/>
  <c r="I140" i="4" l="1"/>
  <c r="G140" i="4"/>
  <c r="H140" i="4"/>
  <c r="D141" i="4"/>
  <c r="G139" i="4"/>
  <c r="H139" i="4"/>
  <c r="I139" i="4"/>
  <c r="I138" i="4"/>
  <c r="G138" i="4"/>
  <c r="H138" i="4"/>
  <c r="E586" i="4"/>
  <c r="E588" i="4"/>
  <c r="E589" i="4" s="1"/>
  <c r="E590" i="4" s="1"/>
  <c r="E591" i="4" s="1"/>
  <c r="E592" i="4" s="1"/>
  <c r="E587" i="4"/>
  <c r="E594" i="4" l="1"/>
  <c r="E595" i="4"/>
  <c r="E596" i="4" s="1"/>
  <c r="E597" i="4" s="1"/>
  <c r="E598" i="4" s="1"/>
  <c r="E599" i="4" s="1"/>
  <c r="E593" i="4"/>
  <c r="G141" i="4"/>
  <c r="I141" i="4"/>
  <c r="H141" i="4"/>
  <c r="D142" i="4"/>
  <c r="G142" i="4" l="1"/>
  <c r="H142" i="4"/>
  <c r="I142" i="4"/>
  <c r="D143" i="4"/>
  <c r="E600" i="4"/>
  <c r="E601" i="4"/>
  <c r="E602" i="4"/>
  <c r="E603" i="4" s="1"/>
  <c r="E604" i="4" s="1"/>
  <c r="E605" i="4" s="1"/>
  <c r="E609" i="4" l="1"/>
  <c r="E610" i="4" s="1"/>
  <c r="E611" i="4" s="1"/>
  <c r="E612" i="4" s="1"/>
  <c r="E613" i="4" s="1"/>
  <c r="E607" i="4"/>
  <c r="E606" i="4"/>
  <c r="E608" i="4" s="1"/>
  <c r="G143" i="4"/>
  <c r="H143" i="4"/>
  <c r="I143" i="4"/>
  <c r="D144" i="4"/>
  <c r="E615" i="4" l="1"/>
  <c r="E614" i="4"/>
  <c r="E616" i="4"/>
  <c r="E617" i="4" s="1"/>
  <c r="E618" i="4" s="1"/>
  <c r="E619" i="4" s="1"/>
  <c r="E620" i="4" s="1"/>
  <c r="G144" i="4"/>
  <c r="H144" i="4"/>
  <c r="I144" i="4"/>
  <c r="D146" i="4"/>
  <c r="D145" i="4"/>
  <c r="D147" i="4"/>
  <c r="E622" i="4" l="1"/>
  <c r="E621" i="4"/>
  <c r="E623" i="4"/>
  <c r="E624" i="4" s="1"/>
  <c r="E625" i="4" s="1"/>
  <c r="E626" i="4" s="1"/>
  <c r="E627" i="4" s="1"/>
  <c r="H147" i="4"/>
  <c r="I147" i="4"/>
  <c r="G147" i="4"/>
  <c r="D148" i="4"/>
  <c r="I145" i="4"/>
  <c r="G145" i="4"/>
  <c r="H145" i="4"/>
  <c r="H146" i="4"/>
  <c r="G146" i="4"/>
  <c r="I146" i="4"/>
  <c r="H148" i="4" l="1"/>
  <c r="I148" i="4"/>
  <c r="D149" i="4"/>
  <c r="G148" i="4"/>
  <c r="E628" i="4"/>
  <c r="E630" i="4"/>
  <c r="E631" i="4" s="1"/>
  <c r="E632" i="4" s="1"/>
  <c r="E633" i="4" s="1"/>
  <c r="E634" i="4" s="1"/>
  <c r="E629" i="4"/>
  <c r="G149" i="4" l="1"/>
  <c r="H149" i="4"/>
  <c r="I149" i="4"/>
  <c r="D150" i="4"/>
  <c r="E638" i="4"/>
  <c r="E639" i="4" s="1"/>
  <c r="E640" i="4" s="1"/>
  <c r="E641" i="4" s="1"/>
  <c r="E636" i="4"/>
  <c r="E635" i="4"/>
  <c r="E637" i="4" s="1"/>
  <c r="E644" i="4" l="1"/>
  <c r="E645" i="4" s="1"/>
  <c r="E646" i="4" s="1"/>
  <c r="E647" i="4" s="1"/>
  <c r="E648" i="4" s="1"/>
  <c r="E643" i="4"/>
  <c r="E642" i="4"/>
  <c r="G150" i="4"/>
  <c r="I150" i="4"/>
  <c r="D151" i="4"/>
  <c r="H150" i="4"/>
  <c r="I151" i="4" l="1"/>
  <c r="G151" i="4"/>
  <c r="H151" i="4"/>
  <c r="D152" i="4"/>
  <c r="D153" i="4"/>
  <c r="D154" i="4"/>
  <c r="E649" i="4"/>
  <c r="E651" i="4"/>
  <c r="E652" i="4" s="1"/>
  <c r="E653" i="4" s="1"/>
  <c r="E654" i="4" s="1"/>
  <c r="E655" i="4" s="1"/>
  <c r="E650" i="4"/>
  <c r="E657" i="4" l="1"/>
  <c r="E658" i="4"/>
  <c r="E659" i="4" s="1"/>
  <c r="E660" i="4" s="1"/>
  <c r="E661" i="4" s="1"/>
  <c r="E662" i="4" s="1"/>
  <c r="E656" i="4"/>
  <c r="I154" i="4"/>
  <c r="G154" i="4"/>
  <c r="H154" i="4"/>
  <c r="D155" i="4"/>
  <c r="I153" i="4"/>
  <c r="H153" i="4"/>
  <c r="G153" i="4"/>
  <c r="H152" i="4"/>
  <c r="I152" i="4"/>
  <c r="G152" i="4"/>
  <c r="E665" i="4" l="1"/>
  <c r="E666" i="4" s="1"/>
  <c r="E667" i="4" s="1"/>
  <c r="E668" i="4" s="1"/>
  <c r="E669" i="4" s="1"/>
  <c r="E663" i="4"/>
  <c r="E664" i="4"/>
  <c r="G155" i="4"/>
  <c r="H155" i="4"/>
  <c r="I155" i="4"/>
  <c r="D156" i="4"/>
  <c r="G156" i="4" l="1"/>
  <c r="I156" i="4"/>
  <c r="H156" i="4"/>
  <c r="D157" i="4"/>
  <c r="E672" i="4"/>
  <c r="E673" i="4" s="1"/>
  <c r="E674" i="4" s="1"/>
  <c r="E675" i="4" s="1"/>
  <c r="E676" i="4" s="1"/>
  <c r="E670" i="4"/>
  <c r="E671" i="4"/>
  <c r="E677" i="4" l="1"/>
  <c r="E679" i="4"/>
  <c r="E680" i="4" s="1"/>
  <c r="E681" i="4" s="1"/>
  <c r="E682" i="4" s="1"/>
  <c r="E683" i="4" s="1"/>
  <c r="E678" i="4"/>
  <c r="I157" i="4"/>
  <c r="H157" i="4"/>
  <c r="G157" i="4"/>
  <c r="D158" i="4"/>
  <c r="E686" i="4" l="1"/>
  <c r="E687" i="4" s="1"/>
  <c r="E688" i="4" s="1"/>
  <c r="E689" i="4" s="1"/>
  <c r="E690" i="4" s="1"/>
  <c r="E685" i="4"/>
  <c r="E684" i="4"/>
  <c r="H158" i="4"/>
  <c r="I158" i="4"/>
  <c r="D161" i="4"/>
  <c r="G158" i="4"/>
  <c r="D160" i="4"/>
  <c r="D159" i="4"/>
  <c r="I159" i="4" l="1"/>
  <c r="H159" i="4"/>
  <c r="G159" i="4"/>
  <c r="H160" i="4"/>
  <c r="I160" i="4"/>
  <c r="G160" i="4"/>
  <c r="G161" i="4"/>
  <c r="I161" i="4"/>
  <c r="H161" i="4"/>
  <c r="D162" i="4"/>
  <c r="E692" i="4"/>
  <c r="E693" i="4"/>
  <c r="E694" i="4" s="1"/>
  <c r="E695" i="4" s="1"/>
  <c r="E696" i="4" s="1"/>
  <c r="E697" i="4" s="1"/>
  <c r="E691" i="4"/>
  <c r="G162" i="4" l="1"/>
  <c r="H162" i="4"/>
  <c r="I162" i="4"/>
  <c r="D163" i="4"/>
  <c r="E698" i="4"/>
  <c r="E699" i="4"/>
  <c r="E700" i="4"/>
  <c r="E701" i="4" s="1"/>
  <c r="E702" i="4" s="1"/>
  <c r="E703" i="4" s="1"/>
  <c r="E704" i="4" l="1"/>
  <c r="E706" i="4" s="1"/>
  <c r="E705" i="4"/>
  <c r="E707" i="4"/>
  <c r="E708" i="4" s="1"/>
  <c r="E709" i="4" s="1"/>
  <c r="E710" i="4" s="1"/>
  <c r="E711" i="4" s="1"/>
  <c r="G163" i="4"/>
  <c r="I163" i="4"/>
  <c r="H163" i="4"/>
  <c r="D164" i="4"/>
  <c r="G164" i="4" l="1"/>
  <c r="I164" i="4"/>
  <c r="H164" i="4"/>
  <c r="D165" i="4"/>
  <c r="E712" i="4"/>
  <c r="E713" i="4"/>
  <c r="E714" i="4"/>
  <c r="E715" i="4" s="1"/>
  <c r="E716" i="4" s="1"/>
  <c r="E717" i="4" s="1"/>
  <c r="E718" i="4" s="1"/>
  <c r="I165" i="4" l="1"/>
  <c r="G165" i="4"/>
  <c r="H165" i="4"/>
  <c r="D166" i="4"/>
  <c r="D167" i="4"/>
  <c r="D168" i="4"/>
  <c r="E721" i="4"/>
  <c r="E722" i="4" s="1"/>
  <c r="E723" i="4" s="1"/>
  <c r="E724" i="4" s="1"/>
  <c r="E725" i="4" s="1"/>
  <c r="E719" i="4"/>
  <c r="E720" i="4"/>
  <c r="E727" i="4" l="1"/>
  <c r="E730" i="4"/>
  <c r="E731" i="4" s="1"/>
  <c r="E732" i="4" s="1"/>
  <c r="E726" i="4"/>
  <c r="G168" i="4"/>
  <c r="H168" i="4"/>
  <c r="I168" i="4"/>
  <c r="D169" i="4"/>
  <c r="G167" i="4"/>
  <c r="H167" i="4"/>
  <c r="I167" i="4"/>
  <c r="H166" i="4"/>
  <c r="I166" i="4"/>
  <c r="G166" i="4"/>
  <c r="E733" i="4" l="1"/>
  <c r="E735" i="4" s="1"/>
  <c r="E736" i="4" s="1"/>
  <c r="E737" i="4" s="1"/>
  <c r="E738" i="4" s="1"/>
  <c r="E739" i="4" s="1"/>
  <c r="E734" i="4"/>
  <c r="G169" i="4"/>
  <c r="H169" i="4"/>
  <c r="I169" i="4"/>
  <c r="D170" i="4"/>
  <c r="E728" i="4"/>
  <c r="E729" i="4"/>
  <c r="G170" i="4" l="1"/>
  <c r="I170" i="4"/>
  <c r="H170" i="4"/>
  <c r="D171" i="4"/>
  <c r="E740" i="4"/>
  <c r="E741" i="4"/>
  <c r="E742" i="4"/>
  <c r="E743" i="4" s="1"/>
  <c r="E744" i="4" s="1"/>
  <c r="E745" i="4" s="1"/>
  <c r="E746" i="4" s="1"/>
  <c r="E747" i="4" l="1"/>
  <c r="E748" i="4"/>
  <c r="E749" i="4"/>
  <c r="E750" i="4" s="1"/>
  <c r="E751" i="4" s="1"/>
  <c r="E752" i="4" s="1"/>
  <c r="E753" i="4" s="1"/>
  <c r="D172" i="4"/>
  <c r="G171" i="4"/>
  <c r="H171" i="4"/>
  <c r="I171" i="4"/>
  <c r="G172" i="4" l="1"/>
  <c r="H172" i="4"/>
  <c r="D173" i="4"/>
  <c r="I172" i="4"/>
  <c r="D175" i="4"/>
  <c r="D174" i="4"/>
  <c r="E755" i="4"/>
  <c r="E756" i="4"/>
  <c r="E757" i="4" s="1"/>
  <c r="E758" i="4" s="1"/>
  <c r="E759" i="4" s="1"/>
  <c r="E760" i="4" s="1"/>
  <c r="E754" i="4"/>
  <c r="E761" i="4" l="1"/>
  <c r="E762" i="4"/>
  <c r="E763" i="4"/>
  <c r="E764" i="4" s="1"/>
  <c r="E765" i="4" s="1"/>
  <c r="E766" i="4" s="1"/>
  <c r="E767" i="4" s="1"/>
  <c r="H174" i="4"/>
  <c r="G174" i="4"/>
  <c r="I174" i="4"/>
  <c r="G175" i="4"/>
  <c r="H175" i="4"/>
  <c r="I175" i="4"/>
  <c r="D176" i="4"/>
  <c r="I173" i="4"/>
  <c r="G173" i="4"/>
  <c r="H173" i="4"/>
  <c r="G176" i="4" l="1"/>
  <c r="I176" i="4"/>
  <c r="H176" i="4"/>
  <c r="D177" i="4"/>
  <c r="E768" i="4"/>
  <c r="E770" i="4"/>
  <c r="E771" i="4" s="1"/>
  <c r="E772" i="4" s="1"/>
  <c r="E773" i="4" s="1"/>
  <c r="E774" i="4" s="1"/>
  <c r="E769" i="4"/>
  <c r="E777" i="4" l="1"/>
  <c r="E778" i="4" s="1"/>
  <c r="E779" i="4" s="1"/>
  <c r="E780" i="4" s="1"/>
  <c r="E781" i="4" s="1"/>
  <c r="E776" i="4"/>
  <c r="E775" i="4"/>
  <c r="D178" i="4"/>
  <c r="G177" i="4"/>
  <c r="H177" i="4"/>
  <c r="I177" i="4"/>
  <c r="G178" i="4" l="1"/>
  <c r="I178" i="4"/>
  <c r="H178" i="4"/>
  <c r="D179" i="4"/>
  <c r="E782" i="4"/>
  <c r="E784" i="4"/>
  <c r="E785" i="4" s="1"/>
  <c r="E786" i="4" s="1"/>
  <c r="E787" i="4" s="1"/>
  <c r="E788" i="4" s="1"/>
  <c r="E783" i="4"/>
  <c r="E791" i="4" l="1"/>
  <c r="E792" i="4" s="1"/>
  <c r="E793" i="4" s="1"/>
  <c r="E794" i="4" s="1"/>
  <c r="E789" i="4"/>
  <c r="E790" i="4"/>
  <c r="G179" i="4"/>
  <c r="I179" i="4"/>
  <c r="D182" i="4"/>
  <c r="H179" i="4"/>
  <c r="D180" i="4"/>
  <c r="D181" i="4"/>
  <c r="G180" i="4" l="1"/>
  <c r="H180" i="4"/>
  <c r="I180" i="4"/>
  <c r="H181" i="4"/>
  <c r="I181" i="4"/>
  <c r="G181" i="4"/>
  <c r="G182" i="4"/>
  <c r="H182" i="4"/>
  <c r="J182" i="4"/>
  <c r="I182" i="4"/>
  <c r="D183" i="4"/>
  <c r="E796" i="4"/>
  <c r="E798" i="4"/>
  <c r="E799" i="4" s="1"/>
  <c r="E800" i="4" s="1"/>
  <c r="E801" i="4" s="1"/>
  <c r="E802" i="4" s="1"/>
  <c r="E795" i="4"/>
  <c r="E797" i="4" s="1"/>
  <c r="E805" i="4" l="1"/>
  <c r="E806" i="4" s="1"/>
  <c r="E807" i="4" s="1"/>
  <c r="E803" i="4"/>
  <c r="E804" i="4"/>
  <c r="I183" i="4"/>
  <c r="G183" i="4"/>
  <c r="H183" i="4"/>
  <c r="J183" i="4"/>
  <c r="D184" i="4"/>
  <c r="H184" i="4" l="1"/>
  <c r="J184" i="4"/>
  <c r="I184" i="4"/>
  <c r="G184" i="4"/>
  <c r="D185" i="4"/>
  <c r="E808" i="4"/>
  <c r="E812" i="4"/>
  <c r="E813" i="4" s="1"/>
  <c r="E814" i="4" s="1"/>
  <c r="E815" i="4" s="1"/>
  <c r="E816" i="4" s="1"/>
  <c r="E809" i="4"/>
  <c r="E811" i="4" l="1"/>
  <c r="E810" i="4"/>
  <c r="E818" i="4"/>
  <c r="E819" i="4"/>
  <c r="E820" i="4" s="1"/>
  <c r="E821" i="4" s="1"/>
  <c r="E822" i="4" s="1"/>
  <c r="E823" i="4" s="1"/>
  <c r="E817" i="4"/>
  <c r="J185" i="4"/>
  <c r="G185" i="4"/>
  <c r="H185" i="4"/>
  <c r="I185" i="4"/>
  <c r="D186" i="4"/>
  <c r="J186" i="4" l="1"/>
  <c r="G186" i="4"/>
  <c r="H186" i="4"/>
  <c r="I186" i="4"/>
  <c r="D189" i="4"/>
  <c r="D187" i="4"/>
  <c r="D190" i="4"/>
  <c r="D191" i="4"/>
  <c r="D188" i="4"/>
  <c r="E825" i="4"/>
  <c r="E826" i="4"/>
  <c r="E827" i="4" s="1"/>
  <c r="E824" i="4"/>
  <c r="I190" i="4" l="1"/>
  <c r="H190" i="4"/>
  <c r="G190" i="4"/>
  <c r="J190" i="4"/>
  <c r="E828" i="4"/>
  <c r="E830" i="4" s="1"/>
  <c r="E832" i="4" s="1"/>
  <c r="E831" i="4"/>
  <c r="E833" i="4" s="1"/>
  <c r="E834" i="4" s="1"/>
  <c r="E835" i="4" s="1"/>
  <c r="E836" i="4" s="1"/>
  <c r="E837" i="4" s="1"/>
  <c r="E829" i="4"/>
  <c r="J188" i="4"/>
  <c r="G188" i="4"/>
  <c r="H188" i="4"/>
  <c r="I188" i="4"/>
  <c r="G189" i="4"/>
  <c r="H189" i="4"/>
  <c r="J189" i="4"/>
  <c r="I189" i="4"/>
  <c r="I191" i="4"/>
  <c r="J191" i="4"/>
  <c r="H191" i="4"/>
  <c r="G191" i="4"/>
  <c r="D192" i="4"/>
  <c r="I187" i="4"/>
  <c r="H187" i="4"/>
  <c r="J187" i="4"/>
  <c r="G187" i="4"/>
  <c r="E838" i="4" l="1"/>
  <c r="E839" i="4"/>
  <c r="E840" i="4"/>
  <c r="E841" i="4" s="1"/>
  <c r="E842" i="4" s="1"/>
  <c r="E843" i="4" s="1"/>
  <c r="E844" i="4" s="1"/>
  <c r="G192" i="4"/>
  <c r="I192" i="4"/>
  <c r="H192" i="4"/>
  <c r="J192" i="4"/>
  <c r="D193" i="4"/>
  <c r="H193" i="4" l="1"/>
  <c r="I193" i="4"/>
  <c r="J193" i="4"/>
  <c r="G193" i="4"/>
  <c r="D194" i="4"/>
  <c r="E845" i="4"/>
  <c r="E847" i="4"/>
  <c r="E848" i="4" s="1"/>
  <c r="E849" i="4" s="1"/>
  <c r="E850" i="4" s="1"/>
  <c r="E851" i="4" s="1"/>
  <c r="E846" i="4"/>
  <c r="E853" i="4" l="1"/>
  <c r="E854" i="4"/>
  <c r="E855" i="4" s="1"/>
  <c r="E852" i="4"/>
  <c r="G194" i="4"/>
  <c r="H194" i="4"/>
  <c r="I194" i="4"/>
  <c r="D196" i="4"/>
  <c r="J194" i="4"/>
  <c r="D195" i="4"/>
  <c r="I195" i="4" l="1"/>
  <c r="H195" i="4"/>
  <c r="G195" i="4"/>
  <c r="J195" i="4"/>
  <c r="E857" i="4"/>
  <c r="E856" i="4"/>
  <c r="E858" i="4" s="1"/>
  <c r="G196" i="4"/>
  <c r="H196" i="4"/>
  <c r="I196" i="4"/>
  <c r="D197" i="4"/>
  <c r="J196" i="4"/>
  <c r="I197" i="4" l="1"/>
  <c r="G197" i="4"/>
  <c r="J197" i="4"/>
  <c r="D198" i="4"/>
  <c r="H197" i="4"/>
  <c r="E860" i="4"/>
  <c r="E859" i="4"/>
  <c r="E861" i="4"/>
  <c r="E862" i="4" s="1"/>
  <c r="E863" i="4" s="1"/>
  <c r="E864" i="4" s="1"/>
  <c r="E865" i="4" s="1"/>
  <c r="E866" i="4" l="1"/>
  <c r="E868" i="4"/>
  <c r="E869" i="4" s="1"/>
  <c r="E870" i="4" s="1"/>
  <c r="E871" i="4" s="1"/>
  <c r="E872" i="4" s="1"/>
  <c r="E867" i="4"/>
  <c r="G198" i="4"/>
  <c r="H198" i="4"/>
  <c r="J198" i="4"/>
  <c r="I198" i="4"/>
  <c r="D199" i="4"/>
  <c r="I199" i="4" l="1"/>
  <c r="J199" i="4"/>
  <c r="G199" i="4"/>
  <c r="H199" i="4"/>
  <c r="D200" i="4"/>
  <c r="E875" i="4"/>
  <c r="E876" i="4" s="1"/>
  <c r="E877" i="4" s="1"/>
  <c r="E878" i="4" s="1"/>
  <c r="E879" i="4" s="1"/>
  <c r="E873" i="4"/>
  <c r="E874" i="4"/>
  <c r="E882" i="4" l="1"/>
  <c r="E883" i="4" s="1"/>
  <c r="E884" i="4" s="1"/>
  <c r="E885" i="4" s="1"/>
  <c r="E886" i="4" s="1"/>
  <c r="E881" i="4"/>
  <c r="E880" i="4"/>
  <c r="H200" i="4"/>
  <c r="I200" i="4"/>
  <c r="J200" i="4"/>
  <c r="G200" i="4"/>
  <c r="D201" i="4"/>
  <c r="D203" i="4"/>
  <c r="D202" i="4"/>
  <c r="J202" i="4" l="1"/>
  <c r="I202" i="4"/>
  <c r="H202" i="4"/>
  <c r="G202" i="4"/>
  <c r="H201" i="4"/>
  <c r="I201" i="4"/>
  <c r="G201" i="4"/>
  <c r="J201" i="4"/>
  <c r="I203" i="4"/>
  <c r="G203" i="4"/>
  <c r="H203" i="4"/>
  <c r="J203" i="4"/>
  <c r="D204" i="4"/>
  <c r="E887" i="4"/>
  <c r="E888" i="4"/>
  <c r="E889" i="4"/>
  <c r="E890" i="4" s="1"/>
  <c r="E891" i="4" s="1"/>
  <c r="E892" i="4" s="1"/>
  <c r="E893" i="4" s="1"/>
  <c r="E894" i="4" l="1"/>
  <c r="E895" i="4"/>
  <c r="E898" i="4"/>
  <c r="E899" i="4" s="1"/>
  <c r="E900" i="4" s="1"/>
  <c r="J204" i="4"/>
  <c r="G204" i="4"/>
  <c r="H204" i="4"/>
  <c r="I204" i="4"/>
  <c r="D205" i="4"/>
  <c r="E896" i="4" l="1"/>
  <c r="E897" i="4"/>
  <c r="I205" i="4"/>
  <c r="H205" i="4"/>
  <c r="G205" i="4"/>
  <c r="J205" i="4"/>
  <c r="D206" i="4"/>
  <c r="E901" i="4"/>
  <c r="E902" i="4"/>
  <c r="E903" i="4"/>
  <c r="E904" i="4" s="1"/>
  <c r="E905" i="4" s="1"/>
  <c r="E906" i="4" s="1"/>
  <c r="E907" i="4" s="1"/>
  <c r="E908" i="4" l="1"/>
  <c r="E910" i="4"/>
  <c r="E911" i="4" s="1"/>
  <c r="E912" i="4" s="1"/>
  <c r="E913" i="4" s="1"/>
  <c r="E914" i="4" s="1"/>
  <c r="E909" i="4"/>
  <c r="H206" i="4"/>
  <c r="J206" i="4"/>
  <c r="G206" i="4"/>
  <c r="I206" i="4"/>
  <c r="D207" i="4"/>
  <c r="E916" i="4" l="1"/>
  <c r="E915" i="4"/>
  <c r="E917" i="4"/>
  <c r="E918" i="4" s="1"/>
  <c r="E919" i="4" s="1"/>
  <c r="E920" i="4" s="1"/>
  <c r="E921" i="4" s="1"/>
  <c r="I207" i="4"/>
  <c r="H207" i="4"/>
  <c r="J207" i="4"/>
  <c r="D208" i="4"/>
  <c r="D209" i="4"/>
  <c r="G207" i="4"/>
  <c r="D210" i="4"/>
  <c r="G210" i="4" l="1"/>
  <c r="I210" i="4"/>
  <c r="H210" i="4"/>
  <c r="J210" i="4"/>
  <c r="D211" i="4"/>
  <c r="E924" i="4"/>
  <c r="E925" i="4" s="1"/>
  <c r="E926" i="4" s="1"/>
  <c r="E927" i="4" s="1"/>
  <c r="E928" i="4" s="1"/>
  <c r="E923" i="4"/>
  <c r="E922" i="4"/>
  <c r="G208" i="4"/>
  <c r="I208" i="4"/>
  <c r="J208" i="4"/>
  <c r="H208" i="4"/>
  <c r="G209" i="4"/>
  <c r="H209" i="4"/>
  <c r="I209" i="4"/>
  <c r="J209" i="4"/>
  <c r="E929" i="4" l="1"/>
  <c r="E931" i="4"/>
  <c r="E932" i="4" s="1"/>
  <c r="E933" i="4" s="1"/>
  <c r="E934" i="4" s="1"/>
  <c r="E935" i="4" s="1"/>
  <c r="E930" i="4"/>
  <c r="I211" i="4"/>
  <c r="G211" i="4"/>
  <c r="H211" i="4"/>
  <c r="J211" i="4"/>
  <c r="D212" i="4"/>
  <c r="J212" i="4" l="1"/>
  <c r="G212" i="4"/>
  <c r="I212" i="4"/>
  <c r="H212" i="4"/>
  <c r="D213" i="4"/>
  <c r="E937" i="4"/>
  <c r="E936" i="4"/>
  <c r="E938" i="4"/>
  <c r="E939" i="4" s="1"/>
  <c r="E940" i="4" s="1"/>
  <c r="E941" i="4" s="1"/>
  <c r="E942" i="4" s="1"/>
  <c r="E945" i="4" l="1"/>
  <c r="E946" i="4" s="1"/>
  <c r="E947" i="4" s="1"/>
  <c r="E948" i="4" s="1"/>
  <c r="E949" i="4" s="1"/>
  <c r="E943" i="4"/>
  <c r="E944" i="4"/>
  <c r="G213" i="4"/>
  <c r="H213" i="4"/>
  <c r="I213" i="4"/>
  <c r="J213" i="4"/>
  <c r="D214" i="4"/>
  <c r="G214" i="4" l="1"/>
  <c r="H214" i="4"/>
  <c r="I214" i="4"/>
  <c r="J214" i="4"/>
  <c r="D216" i="4"/>
  <c r="D215" i="4"/>
  <c r="D217" i="4"/>
  <c r="E951" i="4"/>
  <c r="E952" i="4"/>
  <c r="E953" i="4" s="1"/>
  <c r="E954" i="4" s="1"/>
  <c r="E955" i="4" s="1"/>
  <c r="E956" i="4" s="1"/>
  <c r="E950" i="4"/>
  <c r="I215" i="4" l="1"/>
  <c r="H215" i="4"/>
  <c r="G215" i="4"/>
  <c r="J215" i="4"/>
  <c r="E958" i="4"/>
  <c r="E957" i="4"/>
  <c r="E959" i="4"/>
  <c r="E960" i="4" s="1"/>
  <c r="E961" i="4" s="1"/>
  <c r="E962" i="4" s="1"/>
  <c r="E963" i="4" s="1"/>
  <c r="I217" i="4"/>
  <c r="J217" i="4"/>
  <c r="G217" i="4"/>
  <c r="H217" i="4"/>
  <c r="D218" i="4"/>
  <c r="J216" i="4"/>
  <c r="G216" i="4"/>
  <c r="H216" i="4"/>
  <c r="I216" i="4"/>
  <c r="G218" i="4" l="1"/>
  <c r="H218" i="4"/>
  <c r="J218" i="4"/>
  <c r="I218" i="4"/>
  <c r="D219" i="4"/>
  <c r="E966" i="4"/>
  <c r="E967" i="4" s="1"/>
  <c r="E968" i="4" s="1"/>
  <c r="E969" i="4" s="1"/>
  <c r="E970" i="4" s="1"/>
  <c r="E965" i="4"/>
  <c r="E964" i="4"/>
  <c r="I219" i="4" l="1"/>
  <c r="G219" i="4"/>
  <c r="H219" i="4"/>
  <c r="J219" i="4"/>
  <c r="D220" i="4"/>
  <c r="E972" i="4"/>
  <c r="E971" i="4"/>
  <c r="E975" i="4"/>
  <c r="E976" i="4" s="1"/>
  <c r="E977" i="4" s="1"/>
  <c r="H220" i="4" l="1"/>
  <c r="G220" i="4"/>
  <c r="J220" i="4"/>
  <c r="I220" i="4"/>
  <c r="D221" i="4"/>
  <c r="E979" i="4"/>
  <c r="E980" i="4"/>
  <c r="E981" i="4" s="1"/>
  <c r="E982" i="4" s="1"/>
  <c r="E983" i="4" s="1"/>
  <c r="E984" i="4" s="1"/>
  <c r="E978" i="4"/>
  <c r="E974" i="4"/>
  <c r="E973" i="4"/>
  <c r="E985" i="4" l="1"/>
  <c r="E986" i="4"/>
  <c r="E987" i="4"/>
  <c r="E988" i="4" s="1"/>
  <c r="E989" i="4" s="1"/>
  <c r="E990" i="4" s="1"/>
  <c r="E991" i="4" s="1"/>
  <c r="H221" i="4"/>
  <c r="G221" i="4"/>
  <c r="I221" i="4"/>
  <c r="J221" i="4"/>
  <c r="D223" i="4"/>
  <c r="D222" i="4"/>
  <c r="D224" i="4"/>
  <c r="G222" i="4" l="1"/>
  <c r="H222" i="4"/>
  <c r="I222" i="4"/>
  <c r="J222" i="4"/>
  <c r="G224" i="4"/>
  <c r="H224" i="4"/>
  <c r="J224" i="4"/>
  <c r="I224" i="4"/>
  <c r="D225" i="4"/>
  <c r="I223" i="4"/>
  <c r="G223" i="4"/>
  <c r="J223" i="4"/>
  <c r="H223" i="4"/>
  <c r="E994" i="4"/>
  <c r="E995" i="4" s="1"/>
  <c r="E996" i="4" s="1"/>
  <c r="E997" i="4" s="1"/>
  <c r="E998" i="4" s="1"/>
  <c r="E993" i="4"/>
  <c r="E992" i="4"/>
  <c r="I225" i="4" l="1"/>
  <c r="D226" i="4"/>
  <c r="H225" i="4"/>
  <c r="J225" i="4"/>
  <c r="G225" i="4"/>
  <c r="E1000" i="4"/>
  <c r="E1002" i="4" s="1"/>
  <c r="E999" i="4"/>
  <c r="E1001" i="4"/>
  <c r="E1003" i="4" s="1"/>
  <c r="E1004" i="4" s="1"/>
  <c r="E1005" i="4" s="1"/>
  <c r="E1007" i="4" l="1"/>
  <c r="E1008" i="4"/>
  <c r="E1009" i="4" s="1"/>
  <c r="E1010" i="4" s="1"/>
  <c r="E1011" i="4" s="1"/>
  <c r="E1012" i="4" s="1"/>
  <c r="E1006" i="4"/>
  <c r="G226" i="4"/>
  <c r="H226" i="4"/>
  <c r="I226" i="4"/>
  <c r="J226" i="4"/>
  <c r="D227" i="4"/>
  <c r="I227" i="4" l="1"/>
  <c r="G227" i="4"/>
  <c r="H227" i="4"/>
  <c r="J227" i="4"/>
  <c r="D228" i="4"/>
  <c r="E1013" i="4"/>
  <c r="E1014" i="4"/>
  <c r="E1015" i="4"/>
  <c r="E1016" i="4" s="1"/>
  <c r="E1017" i="4" s="1"/>
  <c r="E1018" i="4" s="1"/>
  <c r="E1019" i="4" s="1"/>
  <c r="E1021" i="4" l="1"/>
  <c r="E1022" i="4"/>
  <c r="E1023" i="4" s="1"/>
  <c r="E1024" i="4" s="1"/>
  <c r="E1025" i="4" s="1"/>
  <c r="E1026" i="4" s="1"/>
  <c r="E1027" i="4" s="1"/>
  <c r="E1020" i="4"/>
  <c r="H228" i="4"/>
  <c r="G228" i="4"/>
  <c r="I228" i="4"/>
  <c r="J228" i="4"/>
  <c r="D230" i="4"/>
  <c r="D229" i="4"/>
  <c r="D231" i="4"/>
  <c r="E1029" i="4" l="1"/>
  <c r="E1030" i="4"/>
  <c r="E1031" i="4" s="1"/>
  <c r="E1032" i="4" s="1"/>
  <c r="E1033" i="4" s="1"/>
  <c r="E1034" i="4" s="1"/>
  <c r="E1028" i="4"/>
  <c r="I231" i="4"/>
  <c r="H231" i="4"/>
  <c r="J231" i="4"/>
  <c r="G231" i="4"/>
  <c r="D232" i="4"/>
  <c r="J229" i="4"/>
  <c r="H229" i="4"/>
  <c r="G229" i="4"/>
  <c r="I229" i="4"/>
  <c r="H230" i="4"/>
  <c r="I230" i="4"/>
  <c r="J230" i="4"/>
  <c r="G230" i="4"/>
  <c r="J232" i="4" l="1"/>
  <c r="G232" i="4"/>
  <c r="H232" i="4"/>
  <c r="I232" i="4"/>
  <c r="D233" i="4"/>
  <c r="E1035" i="4"/>
  <c r="E1037" i="4"/>
  <c r="E1038" i="4" s="1"/>
  <c r="E1039" i="4" s="1"/>
  <c r="E1040" i="4" s="1"/>
  <c r="E1041" i="4" s="1"/>
  <c r="E1036" i="4"/>
  <c r="E1044" i="4" l="1"/>
  <c r="E1045" i="4" s="1"/>
  <c r="E1046" i="4" s="1"/>
  <c r="E1047" i="4" s="1"/>
  <c r="E1048" i="4" s="1"/>
  <c r="E1042" i="4"/>
  <c r="E1043" i="4"/>
  <c r="G233" i="4"/>
  <c r="J233" i="4"/>
  <c r="H233" i="4"/>
  <c r="I233" i="4"/>
  <c r="D234" i="4"/>
  <c r="J234" i="4" l="1"/>
  <c r="G234" i="4"/>
  <c r="I234" i="4"/>
  <c r="H234" i="4"/>
  <c r="D235" i="4"/>
  <c r="E1049" i="4"/>
  <c r="E1050" i="4"/>
  <c r="E1051" i="4"/>
  <c r="E1052" i="4" s="1"/>
  <c r="E1053" i="4" s="1"/>
  <c r="E1054" i="4" s="1"/>
  <c r="E1055" i="4" s="1"/>
  <c r="E1058" i="4" l="1"/>
  <c r="E1059" i="4" s="1"/>
  <c r="E1060" i="4" s="1"/>
  <c r="E1061" i="4" s="1"/>
  <c r="E1062" i="4" s="1"/>
  <c r="E1056" i="4"/>
  <c r="E1057" i="4" s="1"/>
  <c r="I235" i="4"/>
  <c r="G235" i="4"/>
  <c r="J235" i="4"/>
  <c r="H235" i="4"/>
  <c r="D238" i="4"/>
  <c r="D236" i="4"/>
  <c r="D237" i="4"/>
  <c r="J236" i="4" l="1"/>
  <c r="G236" i="4"/>
  <c r="H236" i="4"/>
  <c r="I236" i="4"/>
  <c r="I238" i="4"/>
  <c r="G238" i="4"/>
  <c r="H238" i="4"/>
  <c r="J238" i="4"/>
  <c r="D239" i="4"/>
  <c r="H237" i="4"/>
  <c r="I237" i="4"/>
  <c r="J237" i="4"/>
  <c r="G237" i="4"/>
  <c r="E1063" i="4"/>
  <c r="E1064" i="4" s="1"/>
  <c r="E1065" i="4"/>
  <c r="E1066" i="4" s="1"/>
  <c r="E1067" i="4" s="1"/>
  <c r="E1068" i="4" s="1"/>
  <c r="E1069" i="4" s="1"/>
  <c r="E1070" i="4" l="1"/>
  <c r="E1072" i="4"/>
  <c r="E1071" i="4"/>
  <c r="E1073" i="4"/>
  <c r="E1074" i="4" s="1"/>
  <c r="E1075" i="4" s="1"/>
  <c r="E1076" i="4" s="1"/>
  <c r="E1077" i="4" s="1"/>
  <c r="I239" i="4"/>
  <c r="G239" i="4"/>
  <c r="H239" i="4"/>
  <c r="J239" i="4"/>
  <c r="D240" i="4"/>
  <c r="G240" i="4" l="1"/>
  <c r="I240" i="4"/>
  <c r="H240" i="4"/>
  <c r="D245" i="4"/>
  <c r="J240" i="4"/>
  <c r="D242" i="4"/>
  <c r="D244" i="4"/>
  <c r="D243" i="4"/>
  <c r="D241" i="4"/>
  <c r="E1079" i="4"/>
  <c r="E1080" i="4" s="1"/>
  <c r="E1081" i="4" s="1"/>
  <c r="E1082" i="4" s="1"/>
  <c r="E1083" i="4" s="1"/>
  <c r="E1078" i="4"/>
  <c r="G241" i="4" l="1"/>
  <c r="H241" i="4"/>
  <c r="I241" i="4"/>
  <c r="J241" i="4"/>
  <c r="G244" i="4"/>
  <c r="H244" i="4"/>
  <c r="J244" i="4"/>
  <c r="I244" i="4"/>
  <c r="E1084" i="4"/>
  <c r="E1085" i="4"/>
  <c r="E1086" i="4"/>
  <c r="E1087" i="4" s="1"/>
  <c r="E1088" i="4" s="1"/>
  <c r="E1089" i="4" s="1"/>
  <c r="E1090" i="4" s="1"/>
  <c r="I243" i="4"/>
  <c r="H243" i="4"/>
  <c r="J243" i="4"/>
  <c r="G243" i="4"/>
  <c r="G242" i="4"/>
  <c r="H242" i="4"/>
  <c r="J242" i="4"/>
  <c r="I242" i="4"/>
  <c r="G245" i="4"/>
  <c r="I245" i="4"/>
  <c r="H245" i="4"/>
  <c r="J245" i="4"/>
  <c r="D246" i="4"/>
  <c r="G246" i="4" l="1"/>
  <c r="H246" i="4"/>
  <c r="I246" i="4"/>
  <c r="J246" i="4"/>
  <c r="D247" i="4"/>
  <c r="E1096" i="4"/>
  <c r="E1092" i="4"/>
  <c r="E1097" i="4"/>
  <c r="E1098" i="4" s="1"/>
  <c r="E1100" i="4" s="1"/>
  <c r="E1101" i="4" s="1"/>
  <c r="E1102" i="4" s="1"/>
  <c r="E1103" i="4" s="1"/>
  <c r="E1104" i="4" s="1"/>
  <c r="E1095" i="4"/>
  <c r="E1093" i="4"/>
  <c r="E1099" i="4" s="1"/>
  <c r="E1094" i="4"/>
  <c r="E1091" i="4"/>
  <c r="E1105" i="4" l="1"/>
  <c r="E1107" i="4"/>
  <c r="E1108" i="4" s="1"/>
  <c r="E1109" i="4" s="1"/>
  <c r="E1110" i="4" s="1"/>
  <c r="E1111" i="4" s="1"/>
  <c r="E1106" i="4"/>
  <c r="I247" i="4"/>
  <c r="G247" i="4"/>
  <c r="H247" i="4"/>
  <c r="J247" i="4"/>
  <c r="D248" i="4"/>
  <c r="E1113" i="4" l="1"/>
  <c r="E1112" i="4"/>
  <c r="E1114" i="4"/>
  <c r="E1115" i="4" s="1"/>
  <c r="E1116" i="4" s="1"/>
  <c r="E1117" i="4" s="1"/>
  <c r="E1118" i="4" s="1"/>
  <c r="G248" i="4"/>
  <c r="H248" i="4"/>
  <c r="D249" i="4"/>
  <c r="I248" i="4"/>
  <c r="J248" i="4"/>
  <c r="E1121" i="4" l="1"/>
  <c r="E1122" i="4" s="1"/>
  <c r="E1123" i="4" s="1"/>
  <c r="E1124" i="4" s="1"/>
  <c r="E1125" i="4" s="1"/>
  <c r="E1120" i="4"/>
  <c r="E1119" i="4"/>
  <c r="J249" i="4"/>
  <c r="D250" i="4"/>
  <c r="H249" i="4"/>
  <c r="G249" i="4"/>
  <c r="D252" i="4"/>
  <c r="I249" i="4"/>
  <c r="D251" i="4"/>
  <c r="G252" i="4" l="1"/>
  <c r="H252" i="4"/>
  <c r="I252" i="4"/>
  <c r="J252" i="4"/>
  <c r="D253" i="4"/>
  <c r="I251" i="4"/>
  <c r="H251" i="4"/>
  <c r="G251" i="4"/>
  <c r="J251" i="4"/>
  <c r="G250" i="4"/>
  <c r="I250" i="4"/>
  <c r="H250" i="4"/>
  <c r="J250" i="4"/>
  <c r="E1128" i="4"/>
  <c r="E1129" i="4" s="1"/>
  <c r="E1130" i="4" s="1"/>
  <c r="E1131" i="4" s="1"/>
  <c r="E1132" i="4" s="1"/>
  <c r="E1127" i="4"/>
  <c r="E1126" i="4"/>
  <c r="E1133" i="4" l="1"/>
  <c r="E1134" i="4"/>
  <c r="E1135" i="4"/>
  <c r="E1136" i="4" s="1"/>
  <c r="E1137" i="4" s="1"/>
  <c r="E1138" i="4" s="1"/>
  <c r="E1139" i="4" s="1"/>
  <c r="I253" i="4"/>
  <c r="J253" i="4"/>
  <c r="G253" i="4"/>
  <c r="H253" i="4"/>
  <c r="D254" i="4"/>
  <c r="H254" i="4" l="1"/>
  <c r="G254" i="4"/>
  <c r="I254" i="4"/>
  <c r="J254" i="4"/>
  <c r="D255" i="4"/>
  <c r="E1141" i="4"/>
  <c r="E1142" i="4"/>
  <c r="E1143" i="4" s="1"/>
  <c r="E1144" i="4" s="1"/>
  <c r="E1145" i="4" s="1"/>
  <c r="E1146" i="4" s="1"/>
  <c r="E1140" i="4"/>
  <c r="I255" i="4" l="1"/>
  <c r="G255" i="4"/>
  <c r="H255" i="4"/>
  <c r="J255" i="4"/>
  <c r="D256" i="4"/>
  <c r="E1149" i="4"/>
  <c r="E1150" i="4" s="1"/>
  <c r="E1151" i="4" s="1"/>
  <c r="E1152" i="4" s="1"/>
  <c r="E1153" i="4" s="1"/>
  <c r="E1148" i="4"/>
  <c r="E1147" i="4"/>
  <c r="D259" i="4" l="1"/>
  <c r="H256" i="4"/>
  <c r="I256" i="4"/>
  <c r="J256" i="4"/>
  <c r="G256" i="4"/>
  <c r="D257" i="4"/>
  <c r="D258" i="4"/>
  <c r="E1155" i="4"/>
  <c r="E1156" i="4"/>
  <c r="E1157" i="4" s="1"/>
  <c r="E1158" i="4" s="1"/>
  <c r="E1159" i="4" s="1"/>
  <c r="E1154" i="4"/>
  <c r="E1161" i="4" l="1"/>
  <c r="E1163" i="4" s="1"/>
  <c r="E1160" i="4"/>
  <c r="H258" i="4"/>
  <c r="I258" i="4"/>
  <c r="J258" i="4"/>
  <c r="G258" i="4"/>
  <c r="G257" i="4"/>
  <c r="H257" i="4"/>
  <c r="I257" i="4"/>
  <c r="J257" i="4"/>
  <c r="I259" i="4"/>
  <c r="G259" i="4"/>
  <c r="J259" i="4"/>
  <c r="H259" i="4"/>
  <c r="D260" i="4"/>
  <c r="J260" i="4" l="1"/>
  <c r="I260" i="4"/>
  <c r="H260" i="4"/>
  <c r="G260" i="4"/>
  <c r="D261" i="4"/>
  <c r="E1164" i="4"/>
  <c r="E1165" i="4" s="1"/>
  <c r="E1166" i="4" s="1"/>
  <c r="E1167" i="4" s="1"/>
  <c r="E1162" i="4"/>
  <c r="E1169" i="4" l="1"/>
  <c r="E1170" i="4"/>
  <c r="E1171" i="4" s="1"/>
  <c r="E1172" i="4" s="1"/>
  <c r="E1168" i="4"/>
  <c r="G261" i="4"/>
  <c r="H261" i="4"/>
  <c r="I261" i="4"/>
  <c r="D262" i="4"/>
  <c r="J261" i="4"/>
  <c r="D263" i="4" l="1"/>
  <c r="G262" i="4"/>
  <c r="I262" i="4"/>
  <c r="H262" i="4"/>
  <c r="J262" i="4"/>
  <c r="E1173" i="4"/>
  <c r="E1174" i="4"/>
  <c r="E1176" i="4" s="1"/>
  <c r="E1177" i="4" l="1"/>
  <c r="E1178" i="4" s="1"/>
  <c r="E1179" i="4" s="1"/>
  <c r="E1180" i="4" s="1"/>
  <c r="E1175" i="4"/>
  <c r="I263" i="4"/>
  <c r="G263" i="4"/>
  <c r="H263" i="4"/>
  <c r="D265" i="4"/>
  <c r="J263" i="4"/>
  <c r="D266" i="4"/>
  <c r="D264" i="4"/>
  <c r="H264" i="4" l="1"/>
  <c r="G264" i="4"/>
  <c r="J264" i="4"/>
  <c r="I264" i="4"/>
  <c r="D267" i="4"/>
  <c r="J266" i="4"/>
  <c r="H266" i="4"/>
  <c r="I266" i="4"/>
  <c r="G266" i="4"/>
  <c r="G265" i="4"/>
  <c r="H265" i="4"/>
  <c r="I265" i="4"/>
  <c r="J265" i="4"/>
  <c r="E1181" i="4"/>
  <c r="E1182" i="4"/>
  <c r="E1184" i="4" s="1"/>
  <c r="E1185" i="4" l="1"/>
  <c r="E1186" i="4" s="1"/>
  <c r="E1187" i="4" s="1"/>
  <c r="E1188" i="4" s="1"/>
  <c r="E1183" i="4"/>
  <c r="I267" i="4"/>
  <c r="H267" i="4"/>
  <c r="J267" i="4"/>
  <c r="G267" i="4"/>
  <c r="D268" i="4"/>
  <c r="G268" i="4" l="1"/>
  <c r="H268" i="4"/>
  <c r="I268" i="4"/>
  <c r="J268" i="4"/>
  <c r="D269" i="4"/>
  <c r="E1189" i="4"/>
  <c r="E1190" i="4"/>
  <c r="E1191" i="4"/>
  <c r="E1192" i="4" s="1"/>
  <c r="E1193" i="4" s="1"/>
  <c r="E1194" i="4" s="1"/>
  <c r="E1195" i="4" s="1"/>
  <c r="E1197" i="4" l="1"/>
  <c r="E1196" i="4"/>
  <c r="E1198" i="4"/>
  <c r="E1199" i="4" s="1"/>
  <c r="E1200" i="4" s="1"/>
  <c r="E1201" i="4" s="1"/>
  <c r="E1202" i="4" s="1"/>
  <c r="G269" i="4"/>
  <c r="H269" i="4"/>
  <c r="I269" i="4"/>
  <c r="J269" i="4"/>
  <c r="D270" i="4"/>
  <c r="D271" i="4" l="1"/>
  <c r="G270" i="4"/>
  <c r="H270" i="4"/>
  <c r="I270" i="4"/>
  <c r="J270" i="4"/>
  <c r="D273" i="4"/>
  <c r="D272" i="4"/>
  <c r="E1205" i="4"/>
  <c r="E1206" i="4" s="1"/>
  <c r="E1207" i="4" s="1"/>
  <c r="E1208" i="4" s="1"/>
  <c r="E1209" i="4" s="1"/>
  <c r="E1204" i="4"/>
  <c r="E1203" i="4"/>
  <c r="H272" i="4" l="1"/>
  <c r="G272" i="4"/>
  <c r="I272" i="4"/>
  <c r="J272" i="4"/>
  <c r="I271" i="4"/>
  <c r="G271" i="4"/>
  <c r="H271" i="4"/>
  <c r="J271" i="4"/>
  <c r="E1212" i="4"/>
  <c r="E1213" i="4" s="1"/>
  <c r="E1214" i="4" s="1"/>
  <c r="E1215" i="4" s="1"/>
  <c r="E1216" i="4" s="1"/>
  <c r="E1210" i="4"/>
  <c r="E1211" i="4"/>
  <c r="I273" i="4"/>
  <c r="J273" i="4"/>
  <c r="G273" i="4"/>
  <c r="H273" i="4"/>
  <c r="D274" i="4"/>
  <c r="E1218" i="4" l="1"/>
  <c r="E1217" i="4"/>
  <c r="E1219" i="4"/>
  <c r="E1220" i="4" s="1"/>
  <c r="E1221" i="4" s="1"/>
  <c r="D275" i="4"/>
  <c r="G274" i="4"/>
  <c r="H274" i="4"/>
  <c r="I274" i="4"/>
  <c r="J274" i="4"/>
  <c r="I275" i="4" l="1"/>
  <c r="J275" i="4"/>
  <c r="G275" i="4"/>
  <c r="H275" i="4"/>
  <c r="D276" i="4"/>
  <c r="E1222" i="4"/>
  <c r="E1223" i="4"/>
  <c r="E1225" i="4" s="1"/>
  <c r="E1226" i="4" l="1"/>
  <c r="E1227" i="4" s="1"/>
  <c r="E1228" i="4" s="1"/>
  <c r="E1229" i="4" s="1"/>
  <c r="E1230" i="4" s="1"/>
  <c r="E1224" i="4"/>
  <c r="J276" i="4"/>
  <c r="H276" i="4"/>
  <c r="I276" i="4"/>
  <c r="G276" i="4"/>
  <c r="D277" i="4"/>
  <c r="D279" i="4" l="1"/>
  <c r="G277" i="4"/>
  <c r="H277" i="4"/>
  <c r="I277" i="4"/>
  <c r="J277" i="4"/>
  <c r="D280" i="4"/>
  <c r="D278" i="4"/>
  <c r="E1231" i="4"/>
  <c r="E1232" i="4"/>
  <c r="E1233" i="4"/>
  <c r="E1234" i="4" s="1"/>
  <c r="E1235" i="4" s="1"/>
  <c r="E1236" i="4" s="1"/>
  <c r="E1237" i="4" s="1"/>
  <c r="E1239" i="4" l="1"/>
  <c r="E1240" i="4"/>
  <c r="E1241" i="4" s="1"/>
  <c r="E1242" i="4" s="1"/>
  <c r="E1243" i="4" s="1"/>
  <c r="E1244" i="4" s="1"/>
  <c r="E1238" i="4"/>
  <c r="G278" i="4"/>
  <c r="H278" i="4"/>
  <c r="I278" i="4"/>
  <c r="J278" i="4"/>
  <c r="G280" i="4"/>
  <c r="H280" i="4"/>
  <c r="I280" i="4"/>
  <c r="J280" i="4"/>
  <c r="D281" i="4"/>
  <c r="I279" i="4"/>
  <c r="G279" i="4"/>
  <c r="H279" i="4"/>
  <c r="J279" i="4"/>
  <c r="H281" i="4" l="1"/>
  <c r="I281" i="4"/>
  <c r="J281" i="4"/>
  <c r="G281" i="4"/>
  <c r="D282" i="4"/>
  <c r="E1246" i="4"/>
  <c r="E1247" i="4"/>
  <c r="E1248" i="4" s="1"/>
  <c r="E1249" i="4" s="1"/>
  <c r="E1245" i="4"/>
  <c r="E1251" i="4" l="1"/>
  <c r="E1253" i="4" s="1"/>
  <c r="E1250" i="4"/>
  <c r="D283" i="4"/>
  <c r="G282" i="4"/>
  <c r="H282" i="4"/>
  <c r="I282" i="4"/>
  <c r="J282" i="4"/>
  <c r="E1252" i="4" l="1"/>
  <c r="E1254" i="4"/>
  <c r="E1255" i="4" s="1"/>
  <c r="E1256" i="4" s="1"/>
  <c r="E1257" i="4" s="1"/>
  <c r="E1258" i="4" s="1"/>
  <c r="I283" i="4"/>
  <c r="J283" i="4"/>
  <c r="G283" i="4"/>
  <c r="H283" i="4"/>
  <c r="D284" i="4"/>
  <c r="D287" i="4" l="1"/>
  <c r="H284" i="4"/>
  <c r="J284" i="4"/>
  <c r="G284" i="4"/>
  <c r="I284" i="4"/>
  <c r="D286" i="4"/>
  <c r="D285" i="4"/>
  <c r="E1260" i="4"/>
  <c r="E1261" i="4"/>
  <c r="E1262" i="4" s="1"/>
  <c r="E1263" i="4" s="1"/>
  <c r="E1264" i="4" s="1"/>
  <c r="E1265" i="4" s="1"/>
  <c r="E1259" i="4"/>
  <c r="E1268" i="4" l="1"/>
  <c r="E1269" i="4" s="1"/>
  <c r="E1270" i="4" s="1"/>
  <c r="E1271" i="4" s="1"/>
  <c r="E1272" i="4" s="1"/>
  <c r="E1267" i="4"/>
  <c r="E1266" i="4"/>
  <c r="G285" i="4"/>
  <c r="I285" i="4"/>
  <c r="H285" i="4"/>
  <c r="J285" i="4"/>
  <c r="H286" i="4"/>
  <c r="I286" i="4"/>
  <c r="J286" i="4"/>
  <c r="G286" i="4"/>
  <c r="I287" i="4"/>
  <c r="H287" i="4"/>
  <c r="G287" i="4"/>
  <c r="J287" i="4"/>
  <c r="D288" i="4"/>
  <c r="J288" i="4" l="1"/>
  <c r="D289" i="4"/>
  <c r="G288" i="4"/>
  <c r="I288" i="4"/>
  <c r="H288" i="4"/>
  <c r="E1275" i="4"/>
  <c r="E1276" i="4" s="1"/>
  <c r="E1277" i="4" s="1"/>
  <c r="E1278" i="4" s="1"/>
  <c r="E1279" i="4" s="1"/>
  <c r="E1274" i="4"/>
  <c r="E1273" i="4"/>
  <c r="G289" i="4" l="1"/>
  <c r="I289" i="4"/>
  <c r="H289" i="4"/>
  <c r="J289" i="4"/>
  <c r="D290" i="4"/>
  <c r="E1280" i="4"/>
  <c r="E1282" i="4"/>
  <c r="E1283" i="4" s="1"/>
  <c r="E1284" i="4" s="1"/>
  <c r="E1285" i="4" s="1"/>
  <c r="E1286" i="4" s="1"/>
  <c r="E1281" i="4"/>
  <c r="E1289" i="4" l="1"/>
  <c r="E1290" i="4" s="1"/>
  <c r="E1291" i="4" s="1"/>
  <c r="E1292" i="4" s="1"/>
  <c r="E1293" i="4" s="1"/>
  <c r="E1288" i="4"/>
  <c r="E1287" i="4"/>
  <c r="D291" i="4"/>
  <c r="J290" i="4"/>
  <c r="G290" i="4"/>
  <c r="H290" i="4"/>
  <c r="I290" i="4"/>
  <c r="I291" i="4" l="1"/>
  <c r="G291" i="4"/>
  <c r="J291" i="4"/>
  <c r="H291" i="4"/>
  <c r="D293" i="4"/>
  <c r="D294" i="4"/>
  <c r="D292" i="4"/>
  <c r="E1295" i="4"/>
  <c r="E1294" i="4"/>
  <c r="E1296" i="4"/>
  <c r="E1297" i="4" s="1"/>
  <c r="E1298" i="4" s="1"/>
  <c r="E1299" i="4" s="1"/>
  <c r="E1300" i="4" s="1"/>
  <c r="E1302" i="4" l="1"/>
  <c r="E1301" i="4"/>
  <c r="E1303" i="4"/>
  <c r="E1304" i="4" s="1"/>
  <c r="E1305" i="4" s="1"/>
  <c r="E1306" i="4" s="1"/>
  <c r="E1307" i="4" s="1"/>
  <c r="G292" i="4"/>
  <c r="J292" i="4"/>
  <c r="H292" i="4"/>
  <c r="I292" i="4"/>
  <c r="D295" i="4"/>
  <c r="G294" i="4"/>
  <c r="H294" i="4"/>
  <c r="I294" i="4"/>
  <c r="J294" i="4"/>
  <c r="H293" i="4"/>
  <c r="I293" i="4"/>
  <c r="G293" i="4"/>
  <c r="J293" i="4"/>
  <c r="E1309" i="4" l="1"/>
  <c r="E1310" i="4"/>
  <c r="E1311" i="4" s="1"/>
  <c r="E1312" i="4" s="1"/>
  <c r="E1313" i="4" s="1"/>
  <c r="E1314" i="4" s="1"/>
  <c r="E1308" i="4"/>
  <c r="I295" i="4"/>
  <c r="G295" i="4"/>
  <c r="H295" i="4"/>
  <c r="J295" i="4"/>
  <c r="D296" i="4"/>
  <c r="H296" i="4" l="1"/>
  <c r="I296" i="4"/>
  <c r="J296" i="4"/>
  <c r="G296" i="4"/>
  <c r="D297" i="4"/>
  <c r="E1316" i="4"/>
  <c r="E1317" i="4"/>
  <c r="E1318" i="4" s="1"/>
  <c r="E1319" i="4" s="1"/>
  <c r="E1320" i="4" s="1"/>
  <c r="E1321" i="4" s="1"/>
  <c r="E1315" i="4"/>
  <c r="J297" i="4" l="1"/>
  <c r="H297" i="4"/>
  <c r="I297" i="4"/>
  <c r="G297" i="4"/>
  <c r="D298" i="4"/>
  <c r="E1322" i="4"/>
  <c r="E1324" i="4"/>
  <c r="E1325" i="4" s="1"/>
  <c r="E1326" i="4" s="1"/>
  <c r="E1327" i="4" s="1"/>
  <c r="E1328" i="4" s="1"/>
  <c r="E1323" i="4"/>
  <c r="E1331" i="4" l="1"/>
  <c r="E1332" i="4" s="1"/>
  <c r="E1333" i="4" s="1"/>
  <c r="E1334" i="4" s="1"/>
  <c r="E1335" i="4" s="1"/>
  <c r="E1329" i="4"/>
  <c r="E1330" i="4"/>
  <c r="D299" i="4"/>
  <c r="G298" i="4"/>
  <c r="I298" i="4"/>
  <c r="J298" i="4"/>
  <c r="H298" i="4"/>
  <c r="D300" i="4"/>
  <c r="D301" i="4"/>
  <c r="H300" i="4" l="1"/>
  <c r="I300" i="4"/>
  <c r="J300" i="4"/>
  <c r="G300" i="4"/>
  <c r="G301" i="4"/>
  <c r="H301" i="4"/>
  <c r="I301" i="4"/>
  <c r="J301" i="4"/>
  <c r="D302" i="4"/>
  <c r="I299" i="4"/>
  <c r="H299" i="4"/>
  <c r="J299" i="4"/>
  <c r="G299" i="4"/>
  <c r="E1339" i="4"/>
  <c r="E1340" i="4" s="1"/>
  <c r="E1341" i="4" s="1"/>
  <c r="E1342" i="4" s="1"/>
  <c r="E1336" i="4"/>
  <c r="E1337" i="4"/>
  <c r="E1338" i="4"/>
  <c r="E1343" i="4" l="1"/>
  <c r="E1344" i="4"/>
  <c r="E1345" i="4"/>
  <c r="E1346" i="4" s="1"/>
  <c r="E1347" i="4" s="1"/>
  <c r="E1348" i="4" s="1"/>
  <c r="E1349" i="4" s="1"/>
  <c r="D303" i="4"/>
  <c r="J302" i="4"/>
  <c r="I302" i="4"/>
  <c r="G302" i="4"/>
  <c r="H302" i="4"/>
  <c r="I303" i="4" l="1"/>
  <c r="J303" i="4"/>
  <c r="G303" i="4"/>
  <c r="H303" i="4"/>
  <c r="D304" i="4"/>
  <c r="E1351" i="4"/>
  <c r="E1352" i="4"/>
  <c r="E1353" i="4" s="1"/>
  <c r="E1354" i="4" s="1"/>
  <c r="E1355" i="4" s="1"/>
  <c r="E1356" i="4" s="1"/>
  <c r="E1350" i="4"/>
  <c r="E1359" i="4" l="1"/>
  <c r="E1360" i="4" s="1"/>
  <c r="E1361" i="4" s="1"/>
  <c r="E1362" i="4" s="1"/>
  <c r="E1363" i="4" s="1"/>
  <c r="E1357" i="4"/>
  <c r="E1358" i="4"/>
  <c r="G304" i="4"/>
  <c r="I304" i="4"/>
  <c r="H304" i="4"/>
  <c r="J304" i="4"/>
  <c r="D305" i="4"/>
  <c r="D307" i="4" l="1"/>
  <c r="J305" i="4"/>
  <c r="D306" i="4"/>
  <c r="G305" i="4"/>
  <c r="I305" i="4"/>
  <c r="D308" i="4"/>
  <c r="H305" i="4"/>
  <c r="E1366" i="4"/>
  <c r="E1367" i="4" s="1"/>
  <c r="E1364" i="4"/>
  <c r="E1365" i="4"/>
  <c r="E1368" i="4" l="1"/>
  <c r="E1369" i="4"/>
  <c r="E1370" i="4" s="1"/>
  <c r="G308" i="4"/>
  <c r="H308" i="4"/>
  <c r="I308" i="4"/>
  <c r="J308" i="4"/>
  <c r="D309" i="4"/>
  <c r="G306" i="4"/>
  <c r="I306" i="4"/>
  <c r="J306" i="4"/>
  <c r="H306" i="4"/>
  <c r="I307" i="4"/>
  <c r="G307" i="4"/>
  <c r="H307" i="4"/>
  <c r="J307" i="4"/>
  <c r="G309" i="4" l="1"/>
  <c r="H309" i="4"/>
  <c r="I309" i="4"/>
  <c r="J309" i="4"/>
  <c r="D310" i="4"/>
  <c r="E1371" i="4"/>
  <c r="E1372" i="4" s="1"/>
  <c r="E1373" i="4"/>
  <c r="E1374" i="4" s="1"/>
  <c r="E1375" i="4" s="1"/>
  <c r="E1376" i="4" s="1"/>
  <c r="E1377" i="4" s="1"/>
  <c r="E1378" i="4" l="1"/>
  <c r="E1379" i="4" s="1"/>
  <c r="E1380" i="4"/>
  <c r="E1381" i="4" s="1"/>
  <c r="E1382" i="4" s="1"/>
  <c r="E1383" i="4" s="1"/>
  <c r="E1384" i="4" s="1"/>
  <c r="D311" i="4"/>
  <c r="J310" i="4"/>
  <c r="I310" i="4"/>
  <c r="H310" i="4"/>
  <c r="G310" i="4"/>
  <c r="I311" i="4" l="1"/>
  <c r="H311" i="4"/>
  <c r="G311" i="4"/>
  <c r="J311" i="4"/>
  <c r="D312" i="4"/>
  <c r="E1387" i="4"/>
  <c r="E1388" i="4" s="1"/>
  <c r="E1389" i="4" s="1"/>
  <c r="E1390" i="4" s="1"/>
  <c r="E1391" i="4" s="1"/>
  <c r="E1385" i="4"/>
  <c r="E1386" i="4" s="1"/>
  <c r="E1394" i="4" l="1"/>
  <c r="E1395" i="4" s="1"/>
  <c r="E1396" i="4" s="1"/>
  <c r="E1397" i="4" s="1"/>
  <c r="E1398" i="4" s="1"/>
  <c r="E1392" i="4"/>
  <c r="E1393" i="4" s="1"/>
  <c r="D315" i="4"/>
  <c r="H312" i="4"/>
  <c r="I312" i="4"/>
  <c r="J312" i="4"/>
  <c r="G312" i="4"/>
  <c r="D314" i="4"/>
  <c r="D313" i="4"/>
  <c r="I315" i="4" l="1"/>
  <c r="J315" i="4"/>
  <c r="G315" i="4"/>
  <c r="H315" i="4"/>
  <c r="D316" i="4"/>
  <c r="I314" i="4"/>
  <c r="H314" i="4"/>
  <c r="J314" i="4"/>
  <c r="G314" i="4"/>
  <c r="I313" i="4"/>
  <c r="J313" i="4"/>
  <c r="G313" i="4"/>
  <c r="H313" i="4"/>
  <c r="E1399" i="4"/>
  <c r="E1400" i="4" s="1"/>
  <c r="E1401" i="4"/>
  <c r="E1402" i="4" s="1"/>
  <c r="E1403" i="4" s="1"/>
  <c r="E1404" i="4" s="1"/>
  <c r="E1405" i="4" s="1"/>
  <c r="E1406" i="4" l="1"/>
  <c r="E1407" i="4" s="1"/>
  <c r="E1408" i="4"/>
  <c r="E1409" i="4" s="1"/>
  <c r="E1410" i="4" s="1"/>
  <c r="E1411" i="4" s="1"/>
  <c r="E1412" i="4" s="1"/>
  <c r="J316" i="4"/>
  <c r="H316" i="4"/>
  <c r="I316" i="4"/>
  <c r="G316" i="4"/>
  <c r="D317" i="4"/>
  <c r="G317" i="4" l="1"/>
  <c r="H317" i="4"/>
  <c r="I317" i="4"/>
  <c r="J317" i="4"/>
  <c r="D318" i="4"/>
  <c r="E1415" i="4"/>
  <c r="E1416" i="4" s="1"/>
  <c r="E1417" i="4" s="1"/>
  <c r="E1418" i="4" s="1"/>
  <c r="E1419" i="4" s="1"/>
  <c r="E1413" i="4"/>
  <c r="E1414" i="4" s="1"/>
  <c r="E1422" i="4" l="1"/>
  <c r="E1423" i="4" s="1"/>
  <c r="E1424" i="4" s="1"/>
  <c r="E1425" i="4" s="1"/>
  <c r="E1426" i="4" s="1"/>
  <c r="E1420" i="4"/>
  <c r="E1421" i="4" s="1"/>
  <c r="D319" i="4"/>
  <c r="G318" i="4"/>
  <c r="H318" i="4"/>
  <c r="I318" i="4"/>
  <c r="J318" i="4"/>
  <c r="I319" i="4" l="1"/>
  <c r="D321" i="4"/>
  <c r="G319" i="4"/>
  <c r="H319" i="4"/>
  <c r="D320" i="4"/>
  <c r="J319" i="4"/>
  <c r="D322" i="4"/>
  <c r="E1427" i="4"/>
  <c r="E1428" i="4" s="1"/>
  <c r="E1429" i="4"/>
  <c r="E1430" i="4" s="1"/>
  <c r="E1431" i="4" s="1"/>
  <c r="E1432" i="4" s="1"/>
  <c r="E1433" i="4" s="1"/>
  <c r="D323" i="4" l="1"/>
  <c r="I322" i="4"/>
  <c r="J322" i="4"/>
  <c r="G322" i="4"/>
  <c r="H322" i="4"/>
  <c r="E1434" i="4"/>
  <c r="E1435" i="4" s="1"/>
  <c r="E1436" i="4" s="1"/>
  <c r="E1437" i="4"/>
  <c r="E1438" i="4" s="1"/>
  <c r="E1439" i="4" s="1"/>
  <c r="E1440" i="4" s="1"/>
  <c r="G321" i="4"/>
  <c r="H321" i="4"/>
  <c r="I321" i="4"/>
  <c r="J321" i="4"/>
  <c r="I320" i="4"/>
  <c r="J320" i="4"/>
  <c r="H320" i="4"/>
  <c r="G320" i="4"/>
  <c r="E1443" i="4" l="1"/>
  <c r="E1444" i="4" s="1"/>
  <c r="E1445" i="4" s="1"/>
  <c r="E1446" i="4" s="1"/>
  <c r="E1447" i="4" s="1"/>
  <c r="E1441" i="4"/>
  <c r="E1442" i="4" s="1"/>
  <c r="I323" i="4"/>
  <c r="G323" i="4"/>
  <c r="J323" i="4"/>
  <c r="H323" i="4"/>
  <c r="D324" i="4"/>
  <c r="J324" i="4" l="1"/>
  <c r="G324" i="4"/>
  <c r="H324" i="4"/>
  <c r="I324" i="4"/>
  <c r="D325" i="4"/>
  <c r="E1450" i="4"/>
  <c r="E1451" i="4" s="1"/>
  <c r="E1452" i="4" s="1"/>
  <c r="E1453" i="4" s="1"/>
  <c r="E1454" i="4" s="1"/>
  <c r="E1448" i="4"/>
  <c r="E1449" i="4" s="1"/>
  <c r="G325" i="4" l="1"/>
  <c r="H325" i="4"/>
  <c r="I325" i="4"/>
  <c r="J325" i="4"/>
  <c r="D326" i="4"/>
  <c r="E1455" i="4"/>
  <c r="E1456" i="4" s="1"/>
  <c r="E1457" i="4"/>
  <c r="E1458" i="4" s="1"/>
  <c r="E1459" i="4" l="1"/>
  <c r="E1460" i="4" s="1"/>
  <c r="E1461" i="4" s="1"/>
  <c r="E1462" i="4" s="1"/>
  <c r="E1463" i="4" s="1"/>
  <c r="E1464" i="4"/>
  <c r="E1465" i="4" s="1"/>
  <c r="E1466" i="4" s="1"/>
  <c r="E1467" i="4" s="1"/>
  <c r="E1468" i="4" s="1"/>
  <c r="D327" i="4"/>
  <c r="H326" i="4"/>
  <c r="G326" i="4"/>
  <c r="D328" i="4"/>
  <c r="J326" i="4"/>
  <c r="I326" i="4"/>
  <c r="D329" i="4"/>
  <c r="I329" i="4" l="1"/>
  <c r="J329" i="4"/>
  <c r="H329" i="4"/>
  <c r="G329" i="4"/>
  <c r="D330" i="4"/>
  <c r="I327" i="4"/>
  <c r="H327" i="4"/>
  <c r="J327" i="4"/>
  <c r="G327" i="4"/>
  <c r="E1471" i="4"/>
  <c r="E1472" i="4" s="1"/>
  <c r="E1473" i="4" s="1"/>
  <c r="E1474" i="4" s="1"/>
  <c r="E1475" i="4" s="1"/>
  <c r="E1469" i="4"/>
  <c r="E1470" i="4" s="1"/>
  <c r="G328" i="4"/>
  <c r="H328" i="4"/>
  <c r="J328" i="4"/>
  <c r="I328" i="4"/>
  <c r="E1478" i="4" l="1"/>
  <c r="E1479" i="4" s="1"/>
  <c r="E1480" i="4" s="1"/>
  <c r="E1481" i="4" s="1"/>
  <c r="E1482" i="4" s="1"/>
  <c r="E1476" i="4"/>
  <c r="E1477" i="4" s="1"/>
  <c r="D331" i="4"/>
  <c r="J330" i="4"/>
  <c r="G330" i="4"/>
  <c r="I330" i="4"/>
  <c r="H330" i="4"/>
  <c r="I331" i="4" l="1"/>
  <c r="H331" i="4"/>
  <c r="G331" i="4"/>
  <c r="J331" i="4"/>
  <c r="D332" i="4"/>
  <c r="E1483" i="4"/>
  <c r="E1484" i="4" s="1"/>
  <c r="E1485" i="4"/>
  <c r="E1486" i="4" s="1"/>
  <c r="E1487" i="4" s="1"/>
  <c r="E1488" i="4" s="1"/>
  <c r="E1489" i="4" s="1"/>
  <c r="G332" i="4" l="1"/>
  <c r="H332" i="4"/>
  <c r="J332" i="4"/>
  <c r="I332" i="4"/>
  <c r="D333" i="4"/>
  <c r="E1490" i="4"/>
  <c r="E1491" i="4" s="1"/>
  <c r="E1492" i="4"/>
  <c r="E1493" i="4" s="1"/>
  <c r="E1494" i="4" s="1"/>
  <c r="E1495" i="4" s="1"/>
  <c r="E1496" i="4" s="1"/>
  <c r="E1499" i="4" l="1"/>
  <c r="E1500" i="4" s="1"/>
  <c r="E1501" i="4" s="1"/>
  <c r="E1502" i="4" s="1"/>
  <c r="E1503" i="4" s="1"/>
  <c r="E1497" i="4"/>
  <c r="E1498" i="4" s="1"/>
  <c r="D335" i="4"/>
  <c r="H333" i="4"/>
  <c r="I333" i="4"/>
  <c r="J333" i="4"/>
  <c r="G333" i="4"/>
  <c r="D336" i="4"/>
  <c r="D334" i="4"/>
  <c r="G336" i="4" l="1"/>
  <c r="D337" i="4"/>
  <c r="J336" i="4"/>
  <c r="H336" i="4"/>
  <c r="I336" i="4"/>
  <c r="I335" i="4"/>
  <c r="J335" i="4"/>
  <c r="G335" i="4"/>
  <c r="H335" i="4"/>
  <c r="G334" i="4"/>
  <c r="H334" i="4"/>
  <c r="J334" i="4"/>
  <c r="I334" i="4"/>
  <c r="E1506" i="4"/>
  <c r="E1507" i="4" s="1"/>
  <c r="E1508" i="4" s="1"/>
  <c r="E1509" i="4" s="1"/>
  <c r="E1510" i="4" s="1"/>
  <c r="E1504" i="4"/>
  <c r="E1505" i="4" s="1"/>
  <c r="E1511" i="4" l="1"/>
  <c r="E1512" i="4" s="1"/>
  <c r="E1513" i="4"/>
  <c r="E1514" i="4" s="1"/>
  <c r="E1515" i="4" s="1"/>
  <c r="E1516" i="4" s="1"/>
  <c r="E1517" i="4" s="1"/>
  <c r="H337" i="4"/>
  <c r="G337" i="4"/>
  <c r="I337" i="4"/>
  <c r="D338" i="4"/>
  <c r="J337" i="4"/>
  <c r="E1518" i="4" l="1"/>
  <c r="E1519" i="4" s="1"/>
  <c r="E1520" i="4"/>
  <c r="E1521" i="4" s="1"/>
  <c r="E1522" i="4" s="1"/>
  <c r="E1523" i="4" s="1"/>
  <c r="E1524" i="4" s="1"/>
  <c r="D339" i="4"/>
  <c r="G338" i="4"/>
  <c r="H338" i="4"/>
  <c r="I338" i="4"/>
  <c r="J338" i="4"/>
  <c r="D340" i="4"/>
  <c r="D343" i="4" l="1"/>
  <c r="H340" i="4"/>
  <c r="I340" i="4"/>
  <c r="J340" i="4"/>
  <c r="G340" i="4"/>
  <c r="D341" i="4"/>
  <c r="D342" i="4"/>
  <c r="E1525" i="4"/>
  <c r="E1528" i="4"/>
  <c r="E1529" i="4" s="1"/>
  <c r="E1530" i="4" s="1"/>
  <c r="E1531" i="4" s="1"/>
  <c r="E1526" i="4"/>
  <c r="E1527" i="4"/>
  <c r="I339" i="4"/>
  <c r="G339" i="4"/>
  <c r="H339" i="4"/>
  <c r="J339" i="4"/>
  <c r="H342" i="4" l="1"/>
  <c r="I342" i="4"/>
  <c r="J342" i="4"/>
  <c r="G342" i="4"/>
  <c r="E1534" i="4"/>
  <c r="E1535" i="4" s="1"/>
  <c r="E1536" i="4" s="1"/>
  <c r="E1537" i="4" s="1"/>
  <c r="E1532" i="4"/>
  <c r="E1533" i="4" s="1"/>
  <c r="J341" i="4"/>
  <c r="G341" i="4"/>
  <c r="H341" i="4"/>
  <c r="I341" i="4"/>
  <c r="I343" i="4"/>
  <c r="J343" i="4"/>
  <c r="G343" i="4"/>
  <c r="H343" i="4"/>
  <c r="D344" i="4"/>
  <c r="G344" i="4" l="1"/>
  <c r="H344" i="4"/>
  <c r="I344" i="4"/>
  <c r="J344" i="4"/>
  <c r="D345" i="4"/>
  <c r="E1539" i="4"/>
  <c r="E1540" i="4"/>
  <c r="E1542" i="4"/>
  <c r="E1543" i="4" s="1"/>
  <c r="E1544" i="4" s="1"/>
  <c r="E1545" i="4" s="1"/>
  <c r="E1538" i="4"/>
  <c r="E1541" i="4"/>
  <c r="E1548" i="4" l="1"/>
  <c r="E1549" i="4" s="1"/>
  <c r="E1550" i="4" s="1"/>
  <c r="E1551" i="4" s="1"/>
  <c r="E1552" i="4" s="1"/>
  <c r="E1547" i="4"/>
  <c r="E1546" i="4"/>
  <c r="G345" i="4"/>
  <c r="H345" i="4"/>
  <c r="I345" i="4"/>
  <c r="J345" i="4"/>
  <c r="D346" i="4"/>
  <c r="D347" i="4" l="1"/>
  <c r="J346" i="4"/>
  <c r="G346" i="4"/>
  <c r="H346" i="4"/>
  <c r="I346" i="4"/>
  <c r="E1554" i="4"/>
  <c r="E1553" i="4"/>
  <c r="E1555" i="4"/>
  <c r="E1556" i="4" s="1"/>
  <c r="E1557" i="4" s="1"/>
  <c r="E1558" i="4" s="1"/>
  <c r="E1559" i="4" s="1"/>
  <c r="E1562" i="4" l="1"/>
  <c r="E1563" i="4" s="1"/>
  <c r="E1564" i="4" s="1"/>
  <c r="E1565" i="4" s="1"/>
  <c r="E1566" i="4" s="1"/>
  <c r="E1560" i="4"/>
  <c r="E1561" i="4"/>
  <c r="I347" i="4"/>
  <c r="G347" i="4"/>
  <c r="H347" i="4"/>
  <c r="J347" i="4"/>
  <c r="D350" i="4"/>
  <c r="D348" i="4"/>
  <c r="D349" i="4"/>
  <c r="J349" i="4" l="1"/>
  <c r="H349" i="4"/>
  <c r="G349" i="4"/>
  <c r="I349" i="4"/>
  <c r="I348" i="4"/>
  <c r="G348" i="4"/>
  <c r="H348" i="4"/>
  <c r="J348" i="4"/>
  <c r="D351" i="4"/>
  <c r="G350" i="4"/>
  <c r="I350" i="4"/>
  <c r="H350" i="4"/>
  <c r="J350" i="4"/>
  <c r="E1569" i="4"/>
  <c r="E1570" i="4" s="1"/>
  <c r="E1571" i="4" s="1"/>
  <c r="E1572" i="4" s="1"/>
  <c r="E1573" i="4" s="1"/>
  <c r="E1567" i="4"/>
  <c r="E1568" i="4" s="1"/>
  <c r="E1576" i="4" l="1"/>
  <c r="E1577" i="4" s="1"/>
  <c r="E1578" i="4" s="1"/>
  <c r="E1579" i="4" s="1"/>
  <c r="E1580" i="4" s="1"/>
  <c r="E1574" i="4"/>
  <c r="E1575" i="4"/>
  <c r="I351" i="4"/>
  <c r="G351" i="4"/>
  <c r="H351" i="4"/>
  <c r="J351" i="4"/>
  <c r="D352" i="4"/>
  <c r="I352" i="4" l="1"/>
  <c r="J352" i="4"/>
  <c r="G352" i="4"/>
  <c r="H352" i="4"/>
  <c r="D353" i="4"/>
  <c r="E1582" i="4"/>
  <c r="E1581" i="4"/>
  <c r="E1583" i="4"/>
  <c r="E1584" i="4" s="1"/>
  <c r="E1585" i="4" s="1"/>
  <c r="E1586" i="4" s="1"/>
  <c r="E1587" i="4" s="1"/>
  <c r="E1590" i="4" l="1"/>
  <c r="E1589" i="4"/>
  <c r="E1588" i="4"/>
  <c r="E1591" i="4"/>
  <c r="E1592" i="4" s="1"/>
  <c r="E1593" i="4" s="1"/>
  <c r="E1594" i="4" s="1"/>
  <c r="J353" i="4"/>
  <c r="G353" i="4"/>
  <c r="I353" i="4"/>
  <c r="H353" i="4"/>
  <c r="D354" i="4"/>
  <c r="D355" i="4" l="1"/>
  <c r="J354" i="4"/>
  <c r="I354" i="4"/>
  <c r="H354" i="4"/>
  <c r="D357" i="4"/>
  <c r="G354" i="4"/>
  <c r="D356" i="4"/>
  <c r="E1595" i="4"/>
  <c r="E1597" i="4"/>
  <c r="E1598" i="4" s="1"/>
  <c r="E1599" i="4" s="1"/>
  <c r="E1600" i="4" s="1"/>
  <c r="E1601" i="4" s="1"/>
  <c r="E1596" i="4"/>
  <c r="H356" i="4" l="1"/>
  <c r="I356" i="4"/>
  <c r="J356" i="4"/>
  <c r="G356" i="4"/>
  <c r="E1603" i="4"/>
  <c r="E1602" i="4"/>
  <c r="E1604" i="4"/>
  <c r="E1605" i="4" s="1"/>
  <c r="G357" i="4"/>
  <c r="H357" i="4"/>
  <c r="J357" i="4"/>
  <c r="I357" i="4"/>
  <c r="D358" i="4"/>
  <c r="I355" i="4"/>
  <c r="H355" i="4"/>
  <c r="J355" i="4"/>
  <c r="G355" i="4"/>
  <c r="D359" i="4" l="1"/>
  <c r="I358" i="4"/>
  <c r="J358" i="4"/>
  <c r="H358" i="4"/>
  <c r="G358" i="4"/>
  <c r="E1606" i="4"/>
  <c r="E1611" i="4"/>
  <c r="E1612" i="4" s="1"/>
  <c r="E1613" i="4" s="1"/>
  <c r="E1614" i="4" s="1"/>
  <c r="E1615" i="4" s="1"/>
  <c r="E1609" i="4"/>
  <c r="E1607" i="4"/>
  <c r="E1610" i="4"/>
  <c r="E1608" i="4"/>
  <c r="E1616" i="4" l="1"/>
  <c r="E1617" i="4"/>
  <c r="E1618" i="4"/>
  <c r="E1619" i="4" s="1"/>
  <c r="E1620" i="4" s="1"/>
  <c r="I359" i="4"/>
  <c r="G359" i="4"/>
  <c r="J359" i="4"/>
  <c r="H359" i="4"/>
  <c r="D360" i="4"/>
  <c r="G360" i="4" l="1"/>
  <c r="H360" i="4"/>
  <c r="I360" i="4"/>
  <c r="J360" i="4"/>
  <c r="D361" i="4"/>
  <c r="D363" i="4" l="1"/>
  <c r="I361" i="4"/>
  <c r="J361" i="4"/>
  <c r="H361" i="4"/>
  <c r="D365" i="4"/>
  <c r="G361" i="4"/>
  <c r="D364" i="4"/>
  <c r="D362" i="4"/>
  <c r="D366" i="4"/>
  <c r="G364" i="4" l="1"/>
  <c r="H364" i="4"/>
  <c r="I364" i="4"/>
  <c r="J364" i="4"/>
  <c r="D367" i="4"/>
  <c r="J366" i="4"/>
  <c r="H366" i="4"/>
  <c r="I366" i="4"/>
  <c r="G366" i="4"/>
  <c r="H362" i="4"/>
  <c r="G362" i="4"/>
  <c r="I362" i="4"/>
  <c r="J362" i="4"/>
  <c r="G365" i="4"/>
  <c r="I365" i="4"/>
  <c r="J365" i="4"/>
  <c r="H365" i="4"/>
  <c r="I363" i="4"/>
  <c r="G363" i="4"/>
  <c r="J363" i="4"/>
  <c r="H363" i="4"/>
  <c r="I367" i="4" l="1"/>
  <c r="H367" i="4"/>
  <c r="G367" i="4"/>
  <c r="J367" i="4"/>
  <c r="D368" i="4"/>
  <c r="H368" i="4" l="1"/>
  <c r="I368" i="4"/>
  <c r="J368" i="4"/>
  <c r="G368" i="4"/>
  <c r="D369" i="4"/>
  <c r="D371" i="4" l="1"/>
  <c r="G369" i="4"/>
  <c r="J369" i="4"/>
  <c r="H369" i="4"/>
  <c r="I369" i="4"/>
  <c r="D370" i="4"/>
  <c r="H370" i="4" l="1"/>
  <c r="G370" i="4"/>
  <c r="I370" i="4"/>
  <c r="J370" i="4"/>
  <c r="I371" i="4"/>
  <c r="J371" i="4"/>
  <c r="G371" i="4"/>
  <c r="H371" i="4"/>
  <c r="D372" i="4"/>
  <c r="J372" i="4" l="1"/>
  <c r="G372" i="4"/>
  <c r="H372" i="4"/>
  <c r="I372" i="4"/>
  <c r="D373" i="4"/>
  <c r="G373" i="4" l="1"/>
  <c r="I373" i="4"/>
  <c r="H373" i="4"/>
  <c r="J373" i="4"/>
  <c r="D374" i="4"/>
  <c r="D375" i="4" l="1"/>
  <c r="I374" i="4"/>
  <c r="J374" i="4"/>
  <c r="G374" i="4"/>
  <c r="H374" i="4"/>
  <c r="I375" i="4" l="1"/>
  <c r="G375" i="4"/>
  <c r="J375" i="4"/>
  <c r="D376" i="4"/>
  <c r="D378" i="4"/>
  <c r="H375" i="4"/>
  <c r="D377" i="4"/>
  <c r="G376" i="4" l="1"/>
  <c r="H376" i="4"/>
  <c r="J376" i="4"/>
  <c r="I376" i="4"/>
  <c r="G377" i="4"/>
  <c r="H377" i="4"/>
  <c r="I377" i="4"/>
  <c r="J377" i="4"/>
  <c r="D379" i="4"/>
  <c r="G378" i="4"/>
  <c r="I378" i="4"/>
  <c r="J378" i="4"/>
  <c r="H378" i="4"/>
  <c r="I379" i="4" l="1"/>
  <c r="H379" i="4"/>
  <c r="J379" i="4"/>
  <c r="G379" i="4"/>
  <c r="D380" i="4"/>
  <c r="G380" i="4" l="1"/>
  <c r="I380" i="4"/>
  <c r="D381" i="4"/>
  <c r="J380" i="4"/>
  <c r="H380" i="4"/>
  <c r="G381" i="4" l="1"/>
  <c r="H381" i="4"/>
  <c r="I381" i="4"/>
  <c r="J381" i="4"/>
  <c r="D382" i="4"/>
  <c r="D383" i="4" l="1"/>
  <c r="H382" i="4"/>
  <c r="I382" i="4"/>
  <c r="J382" i="4"/>
  <c r="G382" i="4"/>
  <c r="D385" i="4"/>
  <c r="D384" i="4"/>
  <c r="H384" i="4" l="1"/>
  <c r="I384" i="4"/>
  <c r="J384" i="4"/>
  <c r="G384" i="4"/>
  <c r="I385" i="4"/>
  <c r="J385" i="4"/>
  <c r="G385" i="4"/>
  <c r="H385" i="4"/>
  <c r="D386" i="4"/>
  <c r="I383" i="4"/>
  <c r="H383" i="4"/>
  <c r="J383" i="4"/>
  <c r="G383" i="4"/>
  <c r="D387" i="4" l="1"/>
  <c r="H386" i="4"/>
  <c r="I386" i="4"/>
  <c r="J386" i="4"/>
  <c r="G386" i="4"/>
  <c r="I387" i="4" l="1"/>
  <c r="G387" i="4"/>
  <c r="H387" i="4"/>
  <c r="J387" i="4"/>
  <c r="D388" i="4"/>
  <c r="I388" i="4" l="1"/>
  <c r="H388" i="4"/>
  <c r="D389" i="4"/>
  <c r="G388" i="4"/>
  <c r="J388" i="4"/>
  <c r="D391" i="4" l="1"/>
  <c r="G389" i="4"/>
  <c r="H389" i="4"/>
  <c r="I389" i="4"/>
  <c r="J389" i="4"/>
  <c r="D392" i="4"/>
  <c r="D390" i="4"/>
  <c r="G390" i="4" l="1"/>
  <c r="H390" i="4"/>
  <c r="J390" i="4"/>
  <c r="I390" i="4"/>
  <c r="I392" i="4"/>
  <c r="J392" i="4"/>
  <c r="H392" i="4"/>
  <c r="G392" i="4"/>
  <c r="D393" i="4"/>
  <c r="I391" i="4"/>
  <c r="G391" i="4"/>
  <c r="H391" i="4"/>
  <c r="J391" i="4"/>
  <c r="H393" i="4" l="1"/>
  <c r="G393" i="4"/>
  <c r="I393" i="4"/>
  <c r="J393" i="4"/>
  <c r="D394" i="4"/>
  <c r="D395" i="4" l="1"/>
  <c r="G394" i="4"/>
  <c r="H394" i="4"/>
  <c r="I394" i="4"/>
  <c r="J394" i="4"/>
  <c r="I395" i="4" l="1"/>
  <c r="G395" i="4"/>
  <c r="J395" i="4"/>
  <c r="H395" i="4"/>
  <c r="D396" i="4"/>
  <c r="D399" i="4" l="1"/>
  <c r="I396" i="4"/>
  <c r="J396" i="4"/>
  <c r="G396" i="4"/>
  <c r="H396" i="4"/>
  <c r="D397" i="4"/>
  <c r="D398" i="4"/>
  <c r="H398" i="4" l="1"/>
  <c r="I398" i="4"/>
  <c r="J398" i="4"/>
  <c r="G398" i="4"/>
  <c r="I397" i="4"/>
  <c r="G397" i="4"/>
  <c r="H397" i="4"/>
  <c r="J397" i="4"/>
  <c r="I399" i="4"/>
  <c r="G399" i="4"/>
  <c r="H399" i="4"/>
  <c r="J399" i="4"/>
  <c r="D400" i="4"/>
  <c r="G400" i="4" l="1"/>
  <c r="H400" i="4"/>
  <c r="I400" i="4"/>
  <c r="J400" i="4"/>
  <c r="D401" i="4"/>
  <c r="I401" i="4" l="1"/>
  <c r="J401" i="4"/>
  <c r="G401" i="4"/>
  <c r="H401" i="4"/>
  <c r="D402" i="4"/>
  <c r="J402" i="4" l="1"/>
  <c r="G402" i="4"/>
  <c r="I402" i="4"/>
  <c r="H402" i="4"/>
  <c r="D403" i="4"/>
  <c r="I403" i="4" l="1"/>
  <c r="H403" i="4"/>
  <c r="G403" i="4"/>
  <c r="J403" i="4"/>
  <c r="D405" i="4"/>
  <c r="D404" i="4"/>
  <c r="D406" i="4"/>
  <c r="H406" i="4" l="1"/>
  <c r="I406" i="4"/>
  <c r="J406" i="4"/>
  <c r="G406" i="4"/>
  <c r="D407" i="4"/>
  <c r="H404" i="4"/>
  <c r="G404" i="4"/>
  <c r="I404" i="4"/>
  <c r="J404" i="4"/>
  <c r="G405" i="4"/>
  <c r="H405" i="4"/>
  <c r="I405" i="4"/>
  <c r="J405" i="4"/>
  <c r="H407" i="4" l="1"/>
  <c r="J407" i="4"/>
  <c r="D408" i="4"/>
  <c r="G407" i="4"/>
  <c r="I407" i="4"/>
  <c r="G408" i="4" l="1"/>
  <c r="H408" i="4"/>
  <c r="J408" i="4"/>
  <c r="I408" i="4"/>
  <c r="D409" i="4"/>
  <c r="D410" i="4" l="1"/>
  <c r="G409" i="4"/>
  <c r="H409" i="4"/>
  <c r="I409" i="4"/>
  <c r="J409" i="4"/>
  <c r="G410" i="4" l="1"/>
  <c r="I410" i="4"/>
  <c r="J410" i="4"/>
  <c r="H410" i="4"/>
  <c r="D411" i="4"/>
  <c r="D412" i="4"/>
  <c r="D413" i="4"/>
  <c r="H413" i="4" l="1"/>
  <c r="I413" i="4"/>
  <c r="J413" i="4"/>
  <c r="D414" i="4"/>
  <c r="G413" i="4"/>
  <c r="G411" i="4"/>
  <c r="H411" i="4"/>
  <c r="I411" i="4"/>
  <c r="J411" i="4"/>
  <c r="H412" i="4"/>
  <c r="I412" i="4"/>
  <c r="J412" i="4"/>
  <c r="G412" i="4"/>
  <c r="I414" i="4" l="1"/>
  <c r="H414" i="4"/>
  <c r="J414" i="4"/>
  <c r="G414" i="4"/>
  <c r="D415" i="4"/>
  <c r="G415" i="4" l="1"/>
  <c r="H415" i="4"/>
  <c r="J415" i="4"/>
  <c r="I415" i="4"/>
  <c r="D416" i="4"/>
  <c r="J416" i="4" l="1"/>
  <c r="I416" i="4"/>
  <c r="G416" i="4"/>
  <c r="H416" i="4"/>
  <c r="D417" i="4"/>
  <c r="G417" i="4" l="1"/>
  <c r="H417" i="4"/>
  <c r="I417" i="4"/>
  <c r="J417" i="4"/>
  <c r="D420" i="4"/>
  <c r="D419" i="4"/>
  <c r="D418" i="4"/>
  <c r="G418" i="4" l="1"/>
  <c r="H418" i="4"/>
  <c r="I418" i="4"/>
  <c r="J418" i="4"/>
  <c r="I419" i="4"/>
  <c r="J419" i="4"/>
  <c r="G419" i="4"/>
  <c r="H419" i="4"/>
  <c r="G420" i="4"/>
  <c r="I420" i="4"/>
  <c r="D421" i="4"/>
  <c r="H420" i="4"/>
  <c r="J420" i="4"/>
  <c r="G421" i="4" l="1"/>
  <c r="I421" i="4"/>
  <c r="H421" i="4"/>
  <c r="J421" i="4"/>
  <c r="D422" i="4"/>
  <c r="I422" i="4" l="1"/>
  <c r="J422" i="4"/>
  <c r="G422" i="4"/>
  <c r="H422" i="4"/>
  <c r="D423" i="4"/>
  <c r="G423" i="4" l="1"/>
  <c r="J423" i="4"/>
  <c r="H423" i="4"/>
  <c r="I423" i="4"/>
  <c r="D424" i="4"/>
  <c r="J424" i="4" l="1"/>
  <c r="I424" i="4"/>
  <c r="G424" i="4"/>
  <c r="H424" i="4"/>
  <c r="D425" i="4"/>
  <c r="D427" i="4"/>
  <c r="D426" i="4"/>
  <c r="H426" i="4" l="1"/>
  <c r="I426" i="4"/>
  <c r="J426" i="4"/>
  <c r="G426" i="4"/>
  <c r="G427" i="4"/>
  <c r="J427" i="4"/>
  <c r="H427" i="4"/>
  <c r="I427" i="4"/>
  <c r="D428" i="4"/>
  <c r="G425" i="4"/>
  <c r="H425" i="4"/>
  <c r="I425" i="4"/>
  <c r="J425" i="4"/>
  <c r="G428" i="4" l="1"/>
  <c r="H428" i="4"/>
  <c r="I428" i="4"/>
  <c r="J428" i="4"/>
  <c r="D429" i="4"/>
  <c r="D430" i="4"/>
  <c r="G430" i="4" l="1"/>
  <c r="I430" i="4"/>
  <c r="H430" i="4"/>
  <c r="J430" i="4"/>
  <c r="D431" i="4"/>
  <c r="I429" i="4"/>
  <c r="J429" i="4"/>
  <c r="H429" i="4"/>
  <c r="G429" i="4"/>
  <c r="H431" i="4" l="1"/>
  <c r="J431" i="4"/>
  <c r="I431" i="4"/>
  <c r="D432" i="4"/>
  <c r="G431" i="4"/>
  <c r="H432" i="4" l="1"/>
  <c r="I432" i="4"/>
  <c r="J432" i="4"/>
  <c r="G432" i="4"/>
  <c r="D433" i="4"/>
  <c r="D434" i="4"/>
  <c r="H434" i="4" l="1"/>
  <c r="J434" i="4"/>
  <c r="G434" i="4"/>
  <c r="I434" i="4"/>
  <c r="D435" i="4"/>
  <c r="H433" i="4"/>
  <c r="I433" i="4"/>
  <c r="J433" i="4"/>
  <c r="G433" i="4"/>
  <c r="G435" i="4" l="1"/>
  <c r="I435" i="4"/>
  <c r="J435" i="4"/>
  <c r="H435" i="4"/>
  <c r="D436" i="4"/>
  <c r="I436" i="4" l="1"/>
  <c r="G436" i="4"/>
  <c r="J436" i="4"/>
  <c r="H436" i="4"/>
  <c r="D437" i="4"/>
  <c r="I437" i="4" l="1"/>
  <c r="G437" i="4"/>
  <c r="H437" i="4"/>
  <c r="J437" i="4"/>
  <c r="D438" i="4"/>
  <c r="G438" i="4" l="1"/>
  <c r="H438" i="4"/>
  <c r="J438" i="4"/>
  <c r="I438" i="4"/>
  <c r="D443" i="4"/>
  <c r="D444" i="4"/>
  <c r="D441" i="4"/>
  <c r="D439" i="4"/>
  <c r="D442" i="4"/>
  <c r="D440" i="4"/>
  <c r="H442" i="4" l="1"/>
  <c r="I442" i="4"/>
  <c r="J442" i="4"/>
  <c r="G442" i="4"/>
  <c r="G440" i="4"/>
  <c r="I440" i="4"/>
  <c r="H440" i="4"/>
  <c r="J440" i="4"/>
  <c r="J441" i="4"/>
  <c r="G441" i="4"/>
  <c r="H441" i="4"/>
  <c r="I441" i="4"/>
  <c r="G443" i="4"/>
  <c r="H443" i="4"/>
  <c r="I443" i="4"/>
  <c r="J443" i="4"/>
  <c r="J439" i="4"/>
  <c r="H439" i="4"/>
  <c r="I439" i="4"/>
  <c r="G439" i="4"/>
  <c r="I444" i="4"/>
  <c r="J444" i="4"/>
  <c r="G444" i="4"/>
  <c r="H444" i="4"/>
  <c r="D445" i="4"/>
  <c r="H445" i="4" l="1"/>
  <c r="I445" i="4"/>
  <c r="J445" i="4"/>
  <c r="G445" i="4"/>
  <c r="D446" i="4"/>
  <c r="J446" i="4" l="1"/>
  <c r="G446" i="4"/>
  <c r="I446" i="4"/>
  <c r="H446" i="4"/>
  <c r="D448" i="4"/>
  <c r="D447" i="4"/>
  <c r="G447" i="4" l="1"/>
  <c r="I447" i="4"/>
  <c r="J447" i="4"/>
  <c r="H447" i="4"/>
  <c r="H448" i="4"/>
  <c r="J448" i="4"/>
  <c r="D449" i="4"/>
  <c r="G448" i="4"/>
  <c r="I448" i="4"/>
  <c r="G449" i="4" l="1"/>
  <c r="H449" i="4"/>
  <c r="I449" i="4"/>
  <c r="J449" i="4"/>
  <c r="D450" i="4"/>
  <c r="G450" i="4" l="1"/>
  <c r="H450" i="4"/>
  <c r="I450" i="4"/>
  <c r="J450" i="4"/>
  <c r="D451" i="4"/>
  <c r="G451" i="4" l="1"/>
  <c r="H451" i="4"/>
  <c r="I451" i="4"/>
  <c r="J451" i="4"/>
  <c r="D452" i="4"/>
  <c r="H452" i="4" l="1"/>
  <c r="I452" i="4"/>
  <c r="J452" i="4"/>
  <c r="G452" i="4"/>
  <c r="D454" i="4"/>
  <c r="D453" i="4"/>
  <c r="D455" i="4"/>
  <c r="H455" i="4" l="1"/>
  <c r="I455" i="4"/>
  <c r="J455" i="4"/>
  <c r="G455" i="4"/>
  <c r="D456" i="4"/>
  <c r="G453" i="4"/>
  <c r="H453" i="4"/>
  <c r="I453" i="4"/>
  <c r="J453" i="4"/>
  <c r="G454" i="4"/>
  <c r="H454" i="4"/>
  <c r="J454" i="4"/>
  <c r="I454" i="4"/>
  <c r="G456" i="4" l="1"/>
  <c r="H456" i="4"/>
  <c r="I456" i="4"/>
  <c r="J456" i="4"/>
  <c r="D457" i="4"/>
  <c r="G457" i="4" l="1"/>
  <c r="J457" i="4"/>
  <c r="D458" i="4"/>
  <c r="H457" i="4"/>
  <c r="I457" i="4"/>
  <c r="G458" i="4" l="1"/>
  <c r="I458" i="4"/>
  <c r="H458" i="4"/>
  <c r="J458" i="4"/>
  <c r="D459" i="4"/>
  <c r="I459" i="4" l="1"/>
  <c r="J459" i="4"/>
  <c r="G459" i="4"/>
  <c r="H459" i="4"/>
  <c r="D462" i="4"/>
  <c r="D460" i="4"/>
  <c r="D461" i="4"/>
  <c r="G460" i="4" l="1"/>
  <c r="I460" i="4"/>
  <c r="J460" i="4"/>
  <c r="H460" i="4"/>
  <c r="I461" i="4"/>
  <c r="H461" i="4"/>
  <c r="J461" i="4"/>
  <c r="G461" i="4"/>
  <c r="G462" i="4"/>
  <c r="H462" i="4"/>
  <c r="J462" i="4"/>
  <c r="I462" i="4"/>
  <c r="D463" i="4"/>
  <c r="J463" i="4" l="1"/>
  <c r="I463" i="4"/>
  <c r="G463" i="4"/>
  <c r="H463" i="4"/>
  <c r="D464" i="4"/>
  <c r="G464" i="4" l="1"/>
  <c r="H464" i="4"/>
  <c r="J464" i="4"/>
  <c r="I464" i="4"/>
  <c r="D465" i="4"/>
  <c r="H465" i="4" l="1"/>
  <c r="J465" i="4"/>
  <c r="I465" i="4"/>
  <c r="G465" i="4"/>
  <c r="D466" i="4"/>
  <c r="I466" i="4" l="1"/>
  <c r="G466" i="4"/>
  <c r="H466" i="4"/>
  <c r="J466" i="4"/>
  <c r="D468" i="4"/>
  <c r="D469" i="4"/>
  <c r="D467" i="4"/>
  <c r="G469" i="4" l="1"/>
  <c r="I469" i="4"/>
  <c r="J469" i="4"/>
  <c r="H469" i="4"/>
  <c r="D470" i="4"/>
  <c r="H467" i="4"/>
  <c r="I467" i="4"/>
  <c r="J467" i="4"/>
  <c r="G467" i="4"/>
  <c r="H468" i="4"/>
  <c r="J468" i="4"/>
  <c r="G468" i="4"/>
  <c r="I468" i="4"/>
  <c r="I470" i="4" l="1"/>
  <c r="J470" i="4"/>
  <c r="G470" i="4"/>
  <c r="H470" i="4"/>
  <c r="D471" i="4"/>
  <c r="G471" i="4" l="1"/>
  <c r="H471" i="4"/>
  <c r="I471" i="4"/>
  <c r="J471" i="4"/>
  <c r="D472" i="4"/>
  <c r="G472" i="4" l="1"/>
  <c r="I472" i="4"/>
  <c r="D473" i="4"/>
  <c r="J472" i="4"/>
  <c r="D476" i="4"/>
  <c r="H472" i="4"/>
  <c r="D474" i="4"/>
  <c r="D475" i="4"/>
  <c r="D477" i="4"/>
  <c r="G475" i="4" l="1"/>
  <c r="H475" i="4"/>
  <c r="I475" i="4"/>
  <c r="J475" i="4"/>
  <c r="J477" i="4"/>
  <c r="H477" i="4"/>
  <c r="G477" i="4"/>
  <c r="I477" i="4"/>
  <c r="D478" i="4"/>
  <c r="H474" i="4"/>
  <c r="G474" i="4"/>
  <c r="I474" i="4"/>
  <c r="J474" i="4"/>
  <c r="G476" i="4"/>
  <c r="H476" i="4"/>
  <c r="J476" i="4"/>
  <c r="I476" i="4"/>
  <c r="G473" i="4"/>
  <c r="H473" i="4"/>
  <c r="I473" i="4"/>
  <c r="J473" i="4"/>
  <c r="H478" i="4" l="1"/>
  <c r="J478" i="4"/>
  <c r="G478" i="4"/>
  <c r="I478" i="4"/>
  <c r="D479" i="4"/>
  <c r="G479" i="4" l="1"/>
  <c r="H479" i="4"/>
  <c r="D480" i="4"/>
  <c r="I479" i="4"/>
  <c r="J479" i="4"/>
  <c r="G480" i="4" l="1"/>
  <c r="H480" i="4"/>
  <c r="I480" i="4"/>
  <c r="J480" i="4"/>
  <c r="D482" i="4"/>
  <c r="D481" i="4"/>
  <c r="D483" i="4"/>
  <c r="G483" i="4" l="1"/>
  <c r="I483" i="4"/>
  <c r="J483" i="4"/>
  <c r="H483" i="4"/>
  <c r="D484" i="4"/>
  <c r="J481" i="4"/>
  <c r="H481" i="4"/>
  <c r="G481" i="4"/>
  <c r="I481" i="4"/>
  <c r="I482" i="4"/>
  <c r="J482" i="4"/>
  <c r="G482" i="4"/>
  <c r="H482" i="4"/>
  <c r="H484" i="4" l="1"/>
  <c r="I484" i="4"/>
  <c r="J484" i="4"/>
  <c r="G484" i="4"/>
  <c r="D485" i="4"/>
  <c r="G485" i="4" l="1"/>
  <c r="H485" i="4"/>
  <c r="J485" i="4"/>
  <c r="I485" i="4"/>
  <c r="D486" i="4"/>
  <c r="I486" i="4" l="1"/>
  <c r="G486" i="4"/>
  <c r="H486" i="4"/>
  <c r="J486" i="4"/>
  <c r="D487" i="4"/>
  <c r="H487" i="4" l="1"/>
  <c r="I487" i="4"/>
  <c r="J487" i="4"/>
  <c r="G487" i="4"/>
  <c r="D490" i="4"/>
  <c r="D488" i="4"/>
  <c r="D489" i="4"/>
  <c r="H489" i="4" l="1"/>
  <c r="I489" i="4"/>
  <c r="J489" i="4"/>
  <c r="G489" i="4"/>
  <c r="I488" i="4"/>
  <c r="J488" i="4"/>
  <c r="G488" i="4"/>
  <c r="H488" i="4"/>
  <c r="G490" i="4"/>
  <c r="H490" i="4"/>
  <c r="I490" i="4"/>
  <c r="J490" i="4"/>
  <c r="D492" i="4"/>
  <c r="D491" i="4"/>
  <c r="I491" i="4" l="1"/>
  <c r="G491" i="4"/>
  <c r="H491" i="4"/>
  <c r="J491" i="4"/>
  <c r="J492" i="4"/>
  <c r="G492" i="4"/>
  <c r="I492" i="4"/>
  <c r="H492" i="4"/>
  <c r="D493" i="4"/>
  <c r="G493" i="4" l="1"/>
  <c r="H493" i="4"/>
  <c r="J493" i="4"/>
  <c r="I493" i="4"/>
  <c r="D494" i="4"/>
  <c r="G494" i="4" l="1"/>
  <c r="H494" i="4"/>
  <c r="I494" i="4"/>
  <c r="J494" i="4"/>
  <c r="D497" i="4"/>
  <c r="D495" i="4"/>
  <c r="D496" i="4"/>
  <c r="G497" i="4" l="1"/>
  <c r="I497" i="4"/>
  <c r="J497" i="4"/>
  <c r="H497" i="4"/>
  <c r="D498" i="4"/>
  <c r="J495" i="4"/>
  <c r="H495" i="4"/>
  <c r="I495" i="4"/>
  <c r="G495" i="4"/>
  <c r="J496" i="4"/>
  <c r="H496" i="4"/>
  <c r="G496" i="4"/>
  <c r="I496" i="4"/>
  <c r="H498" i="4" l="1"/>
  <c r="I498" i="4"/>
  <c r="J498" i="4"/>
  <c r="G498" i="4"/>
  <c r="D499" i="4"/>
  <c r="G499" i="4" l="1"/>
  <c r="J499" i="4"/>
  <c r="I499" i="4"/>
  <c r="H499" i="4"/>
  <c r="D500" i="4"/>
  <c r="J500" i="4" l="1"/>
  <c r="D501" i="4"/>
  <c r="G500" i="4"/>
  <c r="H500" i="4"/>
  <c r="I500" i="4"/>
  <c r="G501" i="4" l="1"/>
  <c r="H501" i="4"/>
  <c r="I501" i="4"/>
  <c r="J501" i="4"/>
  <c r="D504" i="4"/>
  <c r="D503" i="4"/>
  <c r="D502" i="4"/>
  <c r="G503" i="4" l="1"/>
  <c r="H503" i="4"/>
  <c r="I503" i="4"/>
  <c r="J503" i="4"/>
  <c r="G502" i="4"/>
  <c r="H502" i="4"/>
  <c r="I502" i="4"/>
  <c r="J502" i="4"/>
  <c r="D505" i="4"/>
  <c r="I504" i="4"/>
  <c r="G504" i="4"/>
  <c r="H504" i="4"/>
  <c r="J504" i="4"/>
  <c r="G505" i="4" l="1"/>
  <c r="H505" i="4"/>
  <c r="I505" i="4"/>
  <c r="J505" i="4"/>
  <c r="D506" i="4"/>
  <c r="H506" i="4" l="1"/>
  <c r="J506" i="4"/>
  <c r="I506" i="4"/>
  <c r="G506" i="4"/>
  <c r="D507" i="4"/>
  <c r="G507" i="4" l="1"/>
  <c r="H507" i="4"/>
  <c r="I507" i="4"/>
  <c r="J507" i="4"/>
  <c r="D508" i="4"/>
  <c r="H508" i="4" l="1"/>
  <c r="G508" i="4"/>
  <c r="I508" i="4"/>
  <c r="J508" i="4"/>
  <c r="D509" i="4"/>
  <c r="D511" i="4"/>
  <c r="D510" i="4"/>
  <c r="G509" i="4" l="1"/>
  <c r="H509" i="4"/>
  <c r="I509" i="4"/>
  <c r="J509" i="4"/>
  <c r="H511" i="4"/>
  <c r="G511" i="4"/>
  <c r="I511" i="4"/>
  <c r="J511" i="4"/>
  <c r="D512" i="4"/>
  <c r="H510" i="4"/>
  <c r="I510" i="4"/>
  <c r="J510" i="4"/>
  <c r="G510" i="4"/>
  <c r="G512" i="4" l="1"/>
  <c r="H512" i="4"/>
  <c r="J512" i="4"/>
  <c r="I512" i="4"/>
  <c r="D513" i="4"/>
  <c r="H513" i="4" l="1"/>
  <c r="I513" i="4"/>
  <c r="J513" i="4"/>
  <c r="G513" i="4"/>
  <c r="D514" i="4"/>
  <c r="H514" i="4" l="1"/>
  <c r="I514" i="4"/>
  <c r="G514" i="4"/>
  <c r="J514" i="4"/>
  <c r="D515" i="4"/>
  <c r="G515" i="4" l="1"/>
  <c r="H515" i="4"/>
  <c r="J515" i="4"/>
  <c r="I515" i="4"/>
  <c r="D517" i="4"/>
  <c r="D518" i="4"/>
  <c r="D516" i="4"/>
  <c r="I517" i="4" l="1"/>
  <c r="J517" i="4"/>
  <c r="G517" i="4"/>
  <c r="H517" i="4"/>
  <c r="G516" i="4"/>
  <c r="I516" i="4"/>
  <c r="J516" i="4"/>
  <c r="H516" i="4"/>
  <c r="H518" i="4"/>
  <c r="G518" i="4"/>
  <c r="J518" i="4"/>
  <c r="I518" i="4"/>
  <c r="D519" i="4"/>
  <c r="J519" i="4" l="1"/>
  <c r="I519" i="4"/>
  <c r="G519" i="4"/>
  <c r="H519" i="4"/>
  <c r="D520" i="4"/>
  <c r="G520" i="4" l="1"/>
  <c r="I520" i="4"/>
  <c r="H520" i="4"/>
  <c r="J520" i="4"/>
  <c r="D521" i="4"/>
  <c r="J521" i="4" l="1"/>
  <c r="H521" i="4"/>
  <c r="I521" i="4"/>
  <c r="G521" i="4"/>
  <c r="D522" i="4"/>
  <c r="H522" i="4" l="1"/>
  <c r="J522" i="4"/>
  <c r="I522" i="4"/>
  <c r="G522" i="4"/>
  <c r="D524" i="4"/>
  <c r="D525" i="4"/>
  <c r="D523" i="4"/>
  <c r="G523" i="4" l="1"/>
  <c r="H523" i="4"/>
  <c r="J523" i="4"/>
  <c r="I523" i="4"/>
  <c r="G525" i="4"/>
  <c r="H525" i="4"/>
  <c r="I525" i="4"/>
  <c r="J525" i="4"/>
  <c r="D526" i="4"/>
  <c r="G524" i="4"/>
  <c r="H524" i="4"/>
  <c r="I524" i="4"/>
  <c r="J524" i="4"/>
  <c r="G526" i="4" l="1"/>
  <c r="H526" i="4"/>
  <c r="J526" i="4"/>
  <c r="I526" i="4"/>
  <c r="D527" i="4"/>
  <c r="J527" i="4" l="1"/>
  <c r="I527" i="4"/>
  <c r="D528" i="4"/>
  <c r="G527" i="4"/>
  <c r="H527" i="4"/>
  <c r="J528" i="4" l="1"/>
  <c r="G528" i="4"/>
  <c r="H528" i="4"/>
  <c r="I528" i="4"/>
  <c r="D529" i="4"/>
  <c r="G529" i="4" l="1"/>
  <c r="I529" i="4"/>
  <c r="D530" i="4"/>
  <c r="J529" i="4"/>
  <c r="H529" i="4"/>
  <c r="D531" i="4"/>
  <c r="D532" i="4"/>
  <c r="H532" i="4" l="1"/>
  <c r="I532" i="4"/>
  <c r="G532" i="4"/>
  <c r="J532" i="4"/>
  <c r="D533" i="4"/>
  <c r="I531" i="4"/>
  <c r="J531" i="4"/>
  <c r="G531" i="4"/>
  <c r="H531" i="4"/>
  <c r="G530" i="4"/>
  <c r="H530" i="4"/>
  <c r="I530" i="4"/>
  <c r="J530" i="4"/>
  <c r="G533" i="4" l="1"/>
  <c r="H533" i="4"/>
  <c r="J533" i="4"/>
  <c r="I533" i="4"/>
  <c r="D534" i="4"/>
  <c r="G534" i="4" l="1"/>
  <c r="H534" i="4"/>
  <c r="J534" i="4"/>
  <c r="I534" i="4"/>
  <c r="D535" i="4"/>
  <c r="I535" i="4" l="1"/>
  <c r="J535" i="4"/>
  <c r="G535" i="4"/>
  <c r="H535" i="4"/>
  <c r="D536" i="4"/>
  <c r="I536" i="4" l="1"/>
  <c r="J536" i="4"/>
  <c r="D537" i="4"/>
  <c r="G536" i="4"/>
  <c r="H536" i="4"/>
  <c r="D539" i="4"/>
  <c r="D538" i="4"/>
  <c r="G538" i="4" l="1"/>
  <c r="H538" i="4"/>
  <c r="I538" i="4"/>
  <c r="J538" i="4"/>
  <c r="I537" i="4"/>
  <c r="J537" i="4"/>
  <c r="G537" i="4"/>
  <c r="H537" i="4"/>
  <c r="G539" i="4"/>
  <c r="H539" i="4"/>
  <c r="I539" i="4"/>
  <c r="J539" i="4"/>
  <c r="D540" i="4"/>
  <c r="I540" i="4" l="1"/>
  <c r="G540" i="4"/>
  <c r="J540" i="4"/>
  <c r="D542" i="4"/>
  <c r="H540" i="4"/>
  <c r="D541" i="4"/>
  <c r="D544" i="4"/>
  <c r="D546" i="4"/>
  <c r="D545" i="4"/>
  <c r="D543" i="4"/>
  <c r="I546" i="4" l="1"/>
  <c r="G546" i="4"/>
  <c r="H546" i="4"/>
  <c r="J546" i="4"/>
  <c r="D547" i="4"/>
  <c r="H542" i="4"/>
  <c r="I542" i="4"/>
  <c r="J542" i="4"/>
  <c r="G542" i="4"/>
  <c r="G545" i="4"/>
  <c r="J545" i="4"/>
  <c r="H545" i="4"/>
  <c r="I545" i="4"/>
  <c r="G543" i="4"/>
  <c r="I543" i="4"/>
  <c r="H543" i="4"/>
  <c r="J543" i="4"/>
  <c r="H544" i="4"/>
  <c r="I544" i="4"/>
  <c r="J544" i="4"/>
  <c r="G544" i="4"/>
  <c r="G541" i="4"/>
  <c r="H541" i="4"/>
  <c r="I541" i="4"/>
  <c r="J541" i="4"/>
  <c r="G547" i="4" l="1"/>
  <c r="H547" i="4"/>
  <c r="J547" i="4"/>
  <c r="I547" i="4"/>
  <c r="D548" i="4"/>
  <c r="H548" i="4" l="1"/>
  <c r="G548" i="4"/>
  <c r="I548" i="4"/>
  <c r="J548" i="4"/>
  <c r="D549" i="4"/>
  <c r="H549" i="4" l="1"/>
  <c r="I549" i="4"/>
  <c r="J549" i="4"/>
  <c r="G549" i="4"/>
  <c r="D550" i="4"/>
  <c r="J550" i="4" l="1"/>
  <c r="G550" i="4"/>
  <c r="H550" i="4"/>
  <c r="I550" i="4"/>
  <c r="D552" i="4"/>
  <c r="D553" i="4"/>
  <c r="D551" i="4"/>
  <c r="H551" i="4" l="1"/>
  <c r="I551" i="4"/>
  <c r="J551" i="4"/>
  <c r="G551" i="4"/>
  <c r="I553" i="4"/>
  <c r="G553" i="4"/>
  <c r="H553" i="4"/>
  <c r="J553" i="4"/>
  <c r="D554" i="4"/>
  <c r="G552" i="4"/>
  <c r="H552" i="4"/>
  <c r="I552" i="4"/>
  <c r="J552" i="4"/>
  <c r="H554" i="4" l="1"/>
  <c r="I554" i="4"/>
  <c r="J554" i="4"/>
  <c r="G554" i="4"/>
  <c r="D555" i="4"/>
  <c r="J555" i="4" l="1"/>
  <c r="H555" i="4"/>
  <c r="G555" i="4"/>
  <c r="I555" i="4"/>
  <c r="D556" i="4"/>
  <c r="G556" i="4" l="1"/>
  <c r="I556" i="4"/>
  <c r="H556" i="4"/>
  <c r="J556" i="4"/>
  <c r="D557" i="4"/>
  <c r="H557" i="4" l="1"/>
  <c r="I557" i="4"/>
  <c r="J557" i="4"/>
  <c r="G557" i="4"/>
  <c r="D559" i="4"/>
  <c r="D560" i="4"/>
  <c r="D558" i="4"/>
  <c r="I559" i="4" l="1"/>
  <c r="J559" i="4"/>
  <c r="G559" i="4"/>
  <c r="H559" i="4"/>
  <c r="G558" i="4"/>
  <c r="H558" i="4"/>
  <c r="I558" i="4"/>
  <c r="J558" i="4"/>
  <c r="H560" i="4"/>
  <c r="J560" i="4"/>
  <c r="G560" i="4"/>
  <c r="I560" i="4"/>
  <c r="D561" i="4"/>
  <c r="J561" i="4" l="1"/>
  <c r="H561" i="4"/>
  <c r="I561" i="4"/>
  <c r="G561" i="4"/>
  <c r="D562" i="4"/>
  <c r="G562" i="4" l="1"/>
  <c r="H562" i="4"/>
  <c r="I562" i="4"/>
  <c r="J562" i="4"/>
  <c r="D563" i="4"/>
  <c r="G563" i="4" l="1"/>
  <c r="J563" i="4"/>
  <c r="H563" i="4"/>
  <c r="I563" i="4"/>
  <c r="D564" i="4"/>
  <c r="G564" i="4" l="1"/>
  <c r="H564" i="4"/>
  <c r="J564" i="4"/>
  <c r="I564" i="4"/>
  <c r="D566" i="4"/>
  <c r="D565" i="4"/>
  <c r="D567" i="4"/>
  <c r="I566" i="4" l="1"/>
  <c r="J566" i="4"/>
  <c r="G566" i="4"/>
  <c r="H566" i="4"/>
  <c r="G565" i="4"/>
  <c r="H565" i="4"/>
  <c r="I565" i="4"/>
  <c r="J565" i="4"/>
  <c r="H567" i="4"/>
  <c r="G567" i="4"/>
  <c r="I567" i="4"/>
  <c r="J567" i="4"/>
  <c r="D568" i="4"/>
  <c r="H568" i="4" l="1"/>
  <c r="I568" i="4"/>
  <c r="J568" i="4"/>
  <c r="G568" i="4"/>
  <c r="D569" i="4"/>
  <c r="G569" i="4" l="1"/>
  <c r="J569" i="4"/>
  <c r="I569" i="4"/>
  <c r="H569" i="4"/>
  <c r="D570" i="4"/>
  <c r="G570" i="4" l="1"/>
  <c r="H570" i="4"/>
  <c r="I570" i="4"/>
  <c r="J570" i="4"/>
  <c r="D571" i="4"/>
  <c r="I571" i="4" l="1"/>
  <c r="D572" i="4"/>
  <c r="H571" i="4"/>
  <c r="D574" i="4"/>
  <c r="G571" i="4"/>
  <c r="J571" i="4"/>
  <c r="D573" i="4"/>
  <c r="G573" i="4" l="1"/>
  <c r="I573" i="4"/>
  <c r="H573" i="4"/>
  <c r="J573" i="4"/>
  <c r="G574" i="4"/>
  <c r="I574" i="4"/>
  <c r="J574" i="4"/>
  <c r="H574" i="4"/>
  <c r="D575" i="4"/>
  <c r="J572" i="4"/>
  <c r="G572" i="4"/>
  <c r="H572" i="4"/>
  <c r="I572" i="4"/>
  <c r="J575" i="4" l="1"/>
  <c r="G575" i="4"/>
  <c r="H575" i="4"/>
  <c r="I575" i="4"/>
  <c r="D576" i="4"/>
  <c r="I576" i="4" l="1"/>
  <c r="G576" i="4"/>
  <c r="H576" i="4"/>
  <c r="J576" i="4"/>
  <c r="D577" i="4"/>
  <c r="G577" i="4" l="1"/>
  <c r="I577" i="4"/>
  <c r="H577" i="4"/>
  <c r="J577" i="4"/>
  <c r="D578" i="4"/>
  <c r="I578" i="4" l="1"/>
  <c r="J578" i="4"/>
  <c r="H578" i="4"/>
  <c r="G578" i="4"/>
  <c r="D581" i="4"/>
  <c r="D579" i="4"/>
  <c r="D580" i="4"/>
  <c r="G579" i="4" l="1"/>
  <c r="H579" i="4"/>
  <c r="I579" i="4"/>
  <c r="J579" i="4"/>
  <c r="G580" i="4"/>
  <c r="H580" i="4"/>
  <c r="J580" i="4"/>
  <c r="I580" i="4"/>
  <c r="G581" i="4"/>
  <c r="H581" i="4"/>
  <c r="I581" i="4"/>
  <c r="J581" i="4"/>
  <c r="D582" i="4"/>
  <c r="G582" i="4" l="1"/>
  <c r="I582" i="4"/>
  <c r="H582" i="4"/>
  <c r="J582" i="4"/>
  <c r="D583" i="4"/>
  <c r="G583" i="4" l="1"/>
  <c r="H583" i="4"/>
  <c r="J583" i="4"/>
  <c r="I583" i="4"/>
  <c r="D584" i="4"/>
  <c r="G584" i="4" l="1"/>
  <c r="H584" i="4"/>
  <c r="J584" i="4"/>
  <c r="I584" i="4"/>
  <c r="D585" i="4"/>
  <c r="I585" i="4" l="1"/>
  <c r="J585" i="4"/>
  <c r="G585" i="4"/>
  <c r="D588" i="4"/>
  <c r="H585" i="4"/>
  <c r="D587" i="4"/>
  <c r="D586" i="4"/>
  <c r="G586" i="4" l="1"/>
  <c r="H586" i="4"/>
  <c r="I586" i="4"/>
  <c r="J586" i="4"/>
  <c r="I587" i="4"/>
  <c r="G587" i="4"/>
  <c r="H587" i="4"/>
  <c r="J587" i="4"/>
  <c r="J588" i="4"/>
  <c r="G588" i="4"/>
  <c r="H588" i="4"/>
  <c r="I588" i="4"/>
  <c r="D589" i="4"/>
  <c r="J589" i="4" l="1"/>
  <c r="H589" i="4"/>
  <c r="I589" i="4"/>
  <c r="G589" i="4"/>
  <c r="D590" i="4"/>
  <c r="G590" i="4" l="1"/>
  <c r="H590" i="4"/>
  <c r="J590" i="4"/>
  <c r="I590" i="4"/>
  <c r="D591" i="4"/>
  <c r="G591" i="4" l="1"/>
  <c r="H591" i="4"/>
  <c r="J591" i="4"/>
  <c r="I591" i="4"/>
  <c r="D592" i="4"/>
  <c r="G592" i="4" l="1"/>
  <c r="H592" i="4"/>
  <c r="I592" i="4"/>
  <c r="J592" i="4"/>
  <c r="D594" i="4"/>
  <c r="D593" i="4"/>
  <c r="D595" i="4"/>
  <c r="G595" i="4" l="1"/>
  <c r="H595" i="4"/>
  <c r="I595" i="4"/>
  <c r="J595" i="4"/>
  <c r="D596" i="4"/>
  <c r="G593" i="4"/>
  <c r="H593" i="4"/>
  <c r="I593" i="4"/>
  <c r="J593" i="4"/>
  <c r="G594" i="4"/>
  <c r="I594" i="4"/>
  <c r="J594" i="4"/>
  <c r="H594" i="4"/>
  <c r="H596" i="4" l="1"/>
  <c r="G596" i="4"/>
  <c r="I596" i="4"/>
  <c r="J596" i="4"/>
  <c r="D597" i="4"/>
  <c r="I597" i="4" l="1"/>
  <c r="J597" i="4"/>
  <c r="G597" i="4"/>
  <c r="H597" i="4"/>
  <c r="D598" i="4"/>
  <c r="G598" i="4" l="1"/>
  <c r="H598" i="4"/>
  <c r="I598" i="4"/>
  <c r="J598" i="4"/>
  <c r="D599" i="4"/>
  <c r="I599" i="4" l="1"/>
  <c r="J599" i="4"/>
  <c r="G599" i="4"/>
  <c r="H599" i="4"/>
  <c r="D602" i="4"/>
  <c r="D600" i="4"/>
  <c r="D601" i="4"/>
  <c r="H601" i="4" l="1"/>
  <c r="J601" i="4"/>
  <c r="G601" i="4"/>
  <c r="I601" i="4"/>
  <c r="H600" i="4"/>
  <c r="G600" i="4"/>
  <c r="J600" i="4"/>
  <c r="I600" i="4"/>
  <c r="H602" i="4"/>
  <c r="I602" i="4"/>
  <c r="J602" i="4"/>
  <c r="G602" i="4"/>
  <c r="D603" i="4"/>
  <c r="H603" i="4" l="1"/>
  <c r="G603" i="4"/>
  <c r="I603" i="4"/>
  <c r="J603" i="4"/>
  <c r="D604" i="4"/>
  <c r="H604" i="4" l="1"/>
  <c r="G604" i="4"/>
  <c r="I604" i="4"/>
  <c r="J604" i="4"/>
  <c r="D605" i="4"/>
  <c r="G605" i="4" l="1"/>
  <c r="H605" i="4"/>
  <c r="I605" i="4"/>
  <c r="J605" i="4"/>
  <c r="D606" i="4"/>
  <c r="D609" i="4"/>
  <c r="D608" i="4"/>
  <c r="D607" i="4"/>
  <c r="G607" i="4" l="1"/>
  <c r="H607" i="4"/>
  <c r="J607" i="4"/>
  <c r="I607" i="4"/>
  <c r="G609" i="4"/>
  <c r="H609" i="4"/>
  <c r="I609" i="4"/>
  <c r="J609" i="4"/>
  <c r="D610" i="4"/>
  <c r="H608" i="4"/>
  <c r="J608" i="4"/>
  <c r="G608" i="4"/>
  <c r="I608" i="4"/>
  <c r="I606" i="4"/>
  <c r="J606" i="4"/>
  <c r="G606" i="4"/>
  <c r="H606" i="4"/>
  <c r="J610" i="4" l="1"/>
  <c r="I610" i="4"/>
  <c r="G610" i="4"/>
  <c r="H610" i="4"/>
  <c r="D611" i="4"/>
  <c r="G611" i="4" l="1"/>
  <c r="J611" i="4"/>
  <c r="H611" i="4"/>
  <c r="I611" i="4"/>
  <c r="D612" i="4"/>
  <c r="H612" i="4" l="1"/>
  <c r="G612" i="4"/>
  <c r="I612" i="4"/>
  <c r="J612" i="4"/>
  <c r="D613" i="4"/>
  <c r="J613" i="4" l="1"/>
  <c r="D614" i="4"/>
  <c r="H613" i="4"/>
  <c r="G613" i="4"/>
  <c r="I613" i="4"/>
  <c r="D616" i="4"/>
  <c r="D615" i="4"/>
  <c r="H615" i="4" l="1"/>
  <c r="I615" i="4"/>
  <c r="G615" i="4"/>
  <c r="J615" i="4"/>
  <c r="J614" i="4"/>
  <c r="I614" i="4"/>
  <c r="G614" i="4"/>
  <c r="H614" i="4"/>
  <c r="H616" i="4"/>
  <c r="I616" i="4"/>
  <c r="G616" i="4"/>
  <c r="J616" i="4"/>
  <c r="D617" i="4"/>
  <c r="H617" i="4" l="1"/>
  <c r="G617" i="4"/>
  <c r="I617" i="4"/>
  <c r="J617" i="4"/>
  <c r="D618" i="4"/>
  <c r="G618" i="4" l="1"/>
  <c r="H618" i="4"/>
  <c r="I618" i="4"/>
  <c r="J618" i="4"/>
  <c r="D619" i="4"/>
  <c r="G619" i="4" l="1"/>
  <c r="I619" i="4"/>
  <c r="H619" i="4"/>
  <c r="J619" i="4"/>
  <c r="D620" i="4"/>
  <c r="H620" i="4" l="1"/>
  <c r="D623" i="4"/>
  <c r="G620" i="4"/>
  <c r="D622" i="4"/>
  <c r="J620" i="4"/>
  <c r="I620" i="4"/>
  <c r="D621" i="4"/>
  <c r="J621" i="4" l="1"/>
  <c r="G621" i="4"/>
  <c r="H621" i="4"/>
  <c r="I621" i="4"/>
  <c r="G623" i="4"/>
  <c r="H623" i="4"/>
  <c r="J623" i="4"/>
  <c r="I623" i="4"/>
  <c r="D624" i="4"/>
  <c r="G622" i="4"/>
  <c r="I622" i="4"/>
  <c r="J622" i="4"/>
  <c r="H622" i="4"/>
  <c r="H624" i="4" l="1"/>
  <c r="G624" i="4"/>
  <c r="D625" i="4"/>
  <c r="J624" i="4"/>
  <c r="I624" i="4"/>
  <c r="G625" i="4" l="1"/>
  <c r="H625" i="4"/>
  <c r="I625" i="4"/>
  <c r="D626" i="4"/>
  <c r="J625" i="4"/>
  <c r="H626" i="4" l="1"/>
  <c r="G626" i="4"/>
  <c r="I626" i="4"/>
  <c r="J626" i="4"/>
  <c r="D627" i="4"/>
  <c r="G627" i="4" l="1"/>
  <c r="H627" i="4"/>
  <c r="I627" i="4"/>
  <c r="J627" i="4"/>
  <c r="D629" i="4"/>
  <c r="D628" i="4"/>
  <c r="D630" i="4"/>
  <c r="H628" i="4" l="1"/>
  <c r="G628" i="4"/>
  <c r="I628" i="4"/>
  <c r="J628" i="4"/>
  <c r="H630" i="4"/>
  <c r="J630" i="4"/>
  <c r="I630" i="4"/>
  <c r="G630" i="4"/>
  <c r="D631" i="4"/>
  <c r="I629" i="4"/>
  <c r="J629" i="4"/>
  <c r="G629" i="4"/>
  <c r="H629" i="4"/>
  <c r="H631" i="4" l="1"/>
  <c r="I631" i="4"/>
  <c r="J631" i="4"/>
  <c r="G631" i="4"/>
  <c r="D632" i="4"/>
  <c r="H632" i="4" l="1"/>
  <c r="J632" i="4"/>
  <c r="G632" i="4"/>
  <c r="I632" i="4"/>
  <c r="D633" i="4"/>
  <c r="G633" i="4" l="1"/>
  <c r="I633" i="4"/>
  <c r="J633" i="4"/>
  <c r="D634" i="4"/>
  <c r="H633" i="4"/>
  <c r="H634" i="4" l="1"/>
  <c r="G634" i="4"/>
  <c r="I634" i="4"/>
  <c r="J634" i="4"/>
  <c r="D635" i="4"/>
  <c r="D637" i="4"/>
  <c r="D638" i="4"/>
  <c r="D636" i="4"/>
  <c r="H636" i="4" l="1"/>
  <c r="J636" i="4"/>
  <c r="G636" i="4"/>
  <c r="I636" i="4"/>
  <c r="H638" i="4"/>
  <c r="I638" i="4"/>
  <c r="G638" i="4"/>
  <c r="J638" i="4"/>
  <c r="D639" i="4"/>
  <c r="H637" i="4"/>
  <c r="J637" i="4"/>
  <c r="G637" i="4"/>
  <c r="I637" i="4"/>
  <c r="I635" i="4"/>
  <c r="J635" i="4"/>
  <c r="H635" i="4"/>
  <c r="G635" i="4"/>
  <c r="J639" i="4" l="1"/>
  <c r="G639" i="4"/>
  <c r="I639" i="4"/>
  <c r="H639" i="4"/>
  <c r="D640" i="4"/>
  <c r="H640" i="4" l="1"/>
  <c r="G640" i="4"/>
  <c r="I640" i="4"/>
  <c r="J640" i="4"/>
  <c r="D641" i="4"/>
  <c r="H641" i="4" l="1"/>
  <c r="I641" i="4"/>
  <c r="J641" i="4"/>
  <c r="D642" i="4"/>
  <c r="G641" i="4"/>
  <c r="D643" i="4"/>
  <c r="D644" i="4"/>
  <c r="H644" i="4" l="1"/>
  <c r="I644" i="4"/>
  <c r="J644" i="4"/>
  <c r="D645" i="4"/>
  <c r="G644" i="4"/>
  <c r="G643" i="4"/>
  <c r="H643" i="4"/>
  <c r="I643" i="4"/>
  <c r="J643" i="4"/>
  <c r="I642" i="4"/>
  <c r="J642" i="4"/>
  <c r="H642" i="4"/>
  <c r="G642" i="4"/>
  <c r="J645" i="4" l="1"/>
  <c r="H645" i="4"/>
  <c r="I645" i="4"/>
  <c r="G645" i="4"/>
  <c r="D646" i="4"/>
  <c r="J646" i="4" l="1"/>
  <c r="H646" i="4"/>
  <c r="D647" i="4"/>
  <c r="G646" i="4"/>
  <c r="I646" i="4"/>
  <c r="H647" i="4" l="1"/>
  <c r="I647" i="4"/>
  <c r="J647" i="4"/>
  <c r="G647" i="4"/>
  <c r="D648" i="4"/>
  <c r="H648" i="4" l="1"/>
  <c r="G648" i="4"/>
  <c r="J648" i="4"/>
  <c r="D651" i="4"/>
  <c r="I648" i="4"/>
  <c r="D649" i="4"/>
  <c r="D650" i="4"/>
  <c r="G649" i="4" l="1"/>
  <c r="I649" i="4"/>
  <c r="J649" i="4"/>
  <c r="H649" i="4"/>
  <c r="H650" i="4"/>
  <c r="G650" i="4"/>
  <c r="I650" i="4"/>
  <c r="J650" i="4"/>
  <c r="G651" i="4"/>
  <c r="J651" i="4"/>
  <c r="H651" i="4"/>
  <c r="D652" i="4"/>
  <c r="I651" i="4"/>
  <c r="H652" i="4" l="1"/>
  <c r="G652" i="4"/>
  <c r="I652" i="4"/>
  <c r="J652" i="4"/>
  <c r="D653" i="4"/>
  <c r="H653" i="4" l="1"/>
  <c r="G653" i="4"/>
  <c r="I653" i="4"/>
  <c r="J653" i="4"/>
  <c r="D654" i="4"/>
  <c r="H654" i="4" l="1"/>
  <c r="G654" i="4"/>
  <c r="I654" i="4"/>
  <c r="J654" i="4"/>
  <c r="D655" i="4"/>
  <c r="G655" i="4" l="1"/>
  <c r="J655" i="4"/>
  <c r="I655" i="4"/>
  <c r="H655" i="4"/>
  <c r="D657" i="4"/>
  <c r="D658" i="4"/>
  <c r="D656" i="4"/>
  <c r="H656" i="4" l="1"/>
  <c r="G656" i="4"/>
  <c r="I656" i="4"/>
  <c r="J656" i="4"/>
  <c r="G658" i="4"/>
  <c r="J658" i="4"/>
  <c r="D659" i="4"/>
  <c r="I658" i="4"/>
  <c r="H658" i="4"/>
  <c r="J657" i="4"/>
  <c r="G657" i="4"/>
  <c r="H657" i="4"/>
  <c r="I657" i="4"/>
  <c r="G659" i="4" l="1"/>
  <c r="H659" i="4"/>
  <c r="J659" i="4"/>
  <c r="I659" i="4"/>
  <c r="D660" i="4"/>
  <c r="H660" i="4" l="1"/>
  <c r="I660" i="4"/>
  <c r="J660" i="4"/>
  <c r="G660" i="4"/>
  <c r="D661" i="4"/>
  <c r="G661" i="4" l="1"/>
  <c r="H661" i="4"/>
  <c r="I661" i="4"/>
  <c r="J661" i="4"/>
  <c r="D662" i="4"/>
  <c r="G662" i="4" l="1"/>
  <c r="H662" i="4"/>
  <c r="I662" i="4"/>
  <c r="J662" i="4"/>
  <c r="D664" i="4"/>
  <c r="D663" i="4"/>
  <c r="D665" i="4"/>
  <c r="J663" i="4" l="1"/>
  <c r="G663" i="4"/>
  <c r="H663" i="4"/>
  <c r="I663" i="4"/>
  <c r="G665" i="4"/>
  <c r="H665" i="4"/>
  <c r="I665" i="4"/>
  <c r="J665" i="4"/>
  <c r="D666" i="4"/>
  <c r="H664" i="4"/>
  <c r="J664" i="4"/>
  <c r="G664" i="4"/>
  <c r="I664" i="4"/>
  <c r="G666" i="4" l="1"/>
  <c r="I666" i="4"/>
  <c r="D667" i="4"/>
  <c r="J666" i="4"/>
  <c r="H666" i="4"/>
  <c r="G667" i="4" l="1"/>
  <c r="H667" i="4"/>
  <c r="J667" i="4"/>
  <c r="I667" i="4"/>
  <c r="D668" i="4"/>
  <c r="H668" i="4" l="1"/>
  <c r="J668" i="4"/>
  <c r="G668" i="4"/>
  <c r="I668" i="4"/>
  <c r="D669" i="4"/>
  <c r="H669" i="4" l="1"/>
  <c r="G669" i="4"/>
  <c r="I669" i="4"/>
  <c r="J669" i="4"/>
  <c r="D670" i="4"/>
  <c r="D672" i="4"/>
  <c r="D671" i="4"/>
  <c r="H671" i="4" l="1"/>
  <c r="I671" i="4"/>
  <c r="J671" i="4"/>
  <c r="G671" i="4"/>
  <c r="H672" i="4"/>
  <c r="I672" i="4"/>
  <c r="G672" i="4"/>
  <c r="D673" i="4"/>
  <c r="J672" i="4"/>
  <c r="H670" i="4"/>
  <c r="G670" i="4"/>
  <c r="I670" i="4"/>
  <c r="J670" i="4"/>
  <c r="G673" i="4" l="1"/>
  <c r="I673" i="4"/>
  <c r="H673" i="4"/>
  <c r="J673" i="4"/>
  <c r="D674" i="4"/>
  <c r="I674" i="4" l="1"/>
  <c r="J674" i="4"/>
  <c r="G674" i="4"/>
  <c r="H674" i="4"/>
  <c r="D675" i="4"/>
  <c r="I675" i="4" l="1"/>
  <c r="J675" i="4"/>
  <c r="G675" i="4"/>
  <c r="H675" i="4"/>
  <c r="D676" i="4"/>
  <c r="H676" i="4" l="1"/>
  <c r="J676" i="4"/>
  <c r="D677" i="4"/>
  <c r="G676" i="4"/>
  <c r="I676" i="4"/>
  <c r="D678" i="4"/>
  <c r="D679" i="4"/>
  <c r="I679" i="4" l="1"/>
  <c r="J679" i="4"/>
  <c r="G679" i="4"/>
  <c r="H679" i="4"/>
  <c r="D680" i="4"/>
  <c r="I678" i="4"/>
  <c r="J678" i="4"/>
  <c r="H678" i="4"/>
  <c r="G678" i="4"/>
  <c r="G677" i="4"/>
  <c r="H677" i="4"/>
  <c r="J677" i="4"/>
  <c r="I677" i="4"/>
  <c r="H680" i="4" l="1"/>
  <c r="I680" i="4"/>
  <c r="G680" i="4"/>
  <c r="J680" i="4"/>
  <c r="D681" i="4"/>
  <c r="G681" i="4" l="1"/>
  <c r="H681" i="4"/>
  <c r="I681" i="4"/>
  <c r="J681" i="4"/>
  <c r="D682" i="4"/>
  <c r="G682" i="4" l="1"/>
  <c r="I682" i="4"/>
  <c r="H682" i="4"/>
  <c r="J682" i="4"/>
  <c r="D683" i="4"/>
  <c r="G683" i="4" l="1"/>
  <c r="H683" i="4"/>
  <c r="I683" i="4"/>
  <c r="J683" i="4"/>
  <c r="D686" i="4"/>
  <c r="D684" i="4"/>
  <c r="D685" i="4"/>
  <c r="H684" i="4" l="1"/>
  <c r="G684" i="4"/>
  <c r="J684" i="4"/>
  <c r="I684" i="4"/>
  <c r="H685" i="4"/>
  <c r="I685" i="4"/>
  <c r="J685" i="4"/>
  <c r="G685" i="4"/>
  <c r="H686" i="4"/>
  <c r="G686" i="4"/>
  <c r="J686" i="4"/>
  <c r="I686" i="4"/>
  <c r="D687" i="4"/>
  <c r="H687" i="4" l="1"/>
  <c r="I687" i="4"/>
  <c r="J687" i="4"/>
  <c r="G687" i="4"/>
  <c r="D688" i="4"/>
  <c r="H688" i="4" l="1"/>
  <c r="J688" i="4"/>
  <c r="D689" i="4"/>
  <c r="G688" i="4"/>
  <c r="I688" i="4"/>
  <c r="I689" i="4" l="1"/>
  <c r="J689" i="4"/>
  <c r="H689" i="4"/>
  <c r="G689" i="4"/>
  <c r="D690" i="4"/>
  <c r="I690" i="4" l="1"/>
  <c r="D692" i="4"/>
  <c r="G690" i="4"/>
  <c r="D693" i="4"/>
  <c r="H690" i="4"/>
  <c r="J690" i="4"/>
  <c r="D691" i="4"/>
  <c r="H691" i="4" l="1"/>
  <c r="I691" i="4"/>
  <c r="J691" i="4"/>
  <c r="G691" i="4"/>
  <c r="H692" i="4"/>
  <c r="G692" i="4"/>
  <c r="J692" i="4"/>
  <c r="I692" i="4"/>
  <c r="J693" i="4"/>
  <c r="G693" i="4"/>
  <c r="H693" i="4"/>
  <c r="I693" i="4"/>
  <c r="D694" i="4"/>
  <c r="G694" i="4" l="1"/>
  <c r="I694" i="4"/>
  <c r="J694" i="4"/>
  <c r="H694" i="4"/>
  <c r="D695" i="4"/>
  <c r="D696" i="4" l="1"/>
  <c r="G695" i="4"/>
  <c r="J695" i="4"/>
  <c r="H695" i="4"/>
  <c r="I695" i="4"/>
  <c r="H696" i="4" l="1"/>
  <c r="G696" i="4"/>
  <c r="I696" i="4"/>
  <c r="J696" i="4"/>
  <c r="D697" i="4"/>
  <c r="G697" i="4" l="1"/>
  <c r="H697" i="4"/>
  <c r="I697" i="4"/>
  <c r="J697" i="4"/>
  <c r="D699" i="4"/>
  <c r="D698" i="4"/>
  <c r="D700" i="4"/>
  <c r="H700" i="4" l="1"/>
  <c r="J700" i="4"/>
  <c r="I700" i="4"/>
  <c r="G700" i="4"/>
  <c r="D701" i="4"/>
  <c r="H698" i="4"/>
  <c r="J698" i="4"/>
  <c r="G698" i="4"/>
  <c r="I698" i="4"/>
  <c r="G699" i="4"/>
  <c r="H699" i="4"/>
  <c r="J699" i="4"/>
  <c r="I699" i="4"/>
  <c r="G701" i="4" l="1"/>
  <c r="I701" i="4"/>
  <c r="D702" i="4"/>
  <c r="H701" i="4"/>
  <c r="J701" i="4"/>
  <c r="G702" i="4" l="1"/>
  <c r="I702" i="4"/>
  <c r="H702" i="4"/>
  <c r="J702" i="4"/>
  <c r="D703" i="4"/>
  <c r="H703" i="4" l="1"/>
  <c r="D706" i="4"/>
  <c r="I703" i="4"/>
  <c r="J703" i="4"/>
  <c r="G703" i="4"/>
  <c r="D704" i="4"/>
  <c r="D705" i="4"/>
  <c r="D707" i="4"/>
  <c r="J705" i="4" l="1"/>
  <c r="G705" i="4"/>
  <c r="H705" i="4"/>
  <c r="I705" i="4"/>
  <c r="G706" i="4"/>
  <c r="H706" i="4"/>
  <c r="J706" i="4"/>
  <c r="I706" i="4"/>
  <c r="J707" i="4"/>
  <c r="I707" i="4"/>
  <c r="G707" i="4"/>
  <c r="H707" i="4"/>
  <c r="D708" i="4"/>
  <c r="H704" i="4"/>
  <c r="G704" i="4"/>
  <c r="I704" i="4"/>
  <c r="J704" i="4"/>
  <c r="H708" i="4" l="1"/>
  <c r="G708" i="4"/>
  <c r="I708" i="4"/>
  <c r="J708" i="4"/>
  <c r="D709" i="4"/>
  <c r="G709" i="4" l="1"/>
  <c r="H709" i="4"/>
  <c r="I709" i="4"/>
  <c r="J709" i="4"/>
  <c r="D710" i="4"/>
  <c r="G710" i="4" l="1"/>
  <c r="H710" i="4"/>
  <c r="I710" i="4"/>
  <c r="J710" i="4"/>
  <c r="D711" i="4"/>
  <c r="G711" i="4" l="1"/>
  <c r="I711" i="4"/>
  <c r="H711" i="4"/>
  <c r="J711" i="4"/>
  <c r="D714" i="4"/>
  <c r="D712" i="4"/>
  <c r="D713" i="4"/>
  <c r="J713" i="4" l="1"/>
  <c r="H713" i="4"/>
  <c r="I713" i="4"/>
  <c r="G713" i="4"/>
  <c r="H712" i="4"/>
  <c r="G712" i="4"/>
  <c r="I712" i="4"/>
  <c r="J712" i="4"/>
  <c r="H714" i="4"/>
  <c r="I714" i="4"/>
  <c r="J714" i="4"/>
  <c r="G714" i="4"/>
  <c r="D715" i="4"/>
  <c r="I715" i="4" l="1"/>
  <c r="J715" i="4"/>
  <c r="G715" i="4"/>
  <c r="H715" i="4"/>
  <c r="D716" i="4"/>
  <c r="H716" i="4" l="1"/>
  <c r="I716" i="4"/>
  <c r="G716" i="4"/>
  <c r="J716" i="4"/>
  <c r="D717" i="4"/>
  <c r="I717" i="4" l="1"/>
  <c r="G717" i="4"/>
  <c r="H717" i="4"/>
  <c r="J717" i="4"/>
  <c r="D718" i="4"/>
  <c r="I718" i="4" l="1"/>
  <c r="J718" i="4"/>
  <c r="G718" i="4"/>
  <c r="H718" i="4"/>
  <c r="D720" i="4"/>
  <c r="D721" i="4"/>
  <c r="D719" i="4"/>
  <c r="H719" i="4" l="1"/>
  <c r="G719" i="4"/>
  <c r="I719" i="4"/>
  <c r="J719" i="4"/>
  <c r="G721" i="4"/>
  <c r="D722" i="4"/>
  <c r="H721" i="4"/>
  <c r="J721" i="4"/>
  <c r="I721" i="4"/>
  <c r="H720" i="4"/>
  <c r="J720" i="4"/>
  <c r="G720" i="4"/>
  <c r="I720" i="4"/>
  <c r="J722" i="4" l="1"/>
  <c r="G722" i="4"/>
  <c r="H722" i="4"/>
  <c r="I722" i="4"/>
  <c r="D723" i="4"/>
  <c r="G723" i="4" l="1"/>
  <c r="J723" i="4"/>
  <c r="H723" i="4"/>
  <c r="I723" i="4"/>
  <c r="D724" i="4"/>
  <c r="H724" i="4" l="1"/>
  <c r="G724" i="4"/>
  <c r="J724" i="4"/>
  <c r="I724" i="4"/>
  <c r="D725" i="4"/>
  <c r="H725" i="4" l="1"/>
  <c r="I725" i="4"/>
  <c r="J725" i="4"/>
  <c r="D728" i="4"/>
  <c r="D726" i="4"/>
  <c r="D730" i="4"/>
  <c r="G725" i="4"/>
  <c r="D727" i="4"/>
  <c r="D729" i="4"/>
  <c r="G726" i="4" l="1"/>
  <c r="I726" i="4"/>
  <c r="H726" i="4"/>
  <c r="J726" i="4"/>
  <c r="G729" i="4"/>
  <c r="I729" i="4"/>
  <c r="J729" i="4"/>
  <c r="H729" i="4"/>
  <c r="H727" i="4"/>
  <c r="J727" i="4"/>
  <c r="G727" i="4"/>
  <c r="I727" i="4"/>
  <c r="G730" i="4"/>
  <c r="I730" i="4"/>
  <c r="J730" i="4"/>
  <c r="H730" i="4"/>
  <c r="D731" i="4"/>
  <c r="H728" i="4"/>
  <c r="G728" i="4"/>
  <c r="I728" i="4"/>
  <c r="J728" i="4"/>
  <c r="G731" i="4" l="1"/>
  <c r="I731" i="4"/>
  <c r="H731" i="4"/>
  <c r="J731" i="4"/>
  <c r="D732" i="4"/>
  <c r="H732" i="4" l="1"/>
  <c r="G732" i="4"/>
  <c r="I732" i="4"/>
  <c r="J732" i="4"/>
  <c r="D733" i="4"/>
  <c r="D735" i="4" l="1"/>
  <c r="G733" i="4"/>
  <c r="H733" i="4"/>
  <c r="I733" i="4"/>
  <c r="J733" i="4"/>
  <c r="D734" i="4"/>
  <c r="J734" i="4" l="1"/>
  <c r="G734" i="4"/>
  <c r="H734" i="4"/>
  <c r="I734" i="4"/>
  <c r="G735" i="4"/>
  <c r="H735" i="4"/>
  <c r="J735" i="4"/>
  <c r="I735" i="4"/>
  <c r="D736" i="4"/>
  <c r="H736" i="4" l="1"/>
  <c r="I736" i="4"/>
  <c r="J736" i="4"/>
  <c r="G736" i="4"/>
  <c r="D737" i="4"/>
  <c r="G737" i="4" l="1"/>
  <c r="J737" i="4"/>
  <c r="H737" i="4"/>
  <c r="I737" i="4"/>
  <c r="D738" i="4"/>
  <c r="I738" i="4" l="1"/>
  <c r="J738" i="4"/>
  <c r="H738" i="4"/>
  <c r="G738" i="4"/>
  <c r="D739" i="4"/>
  <c r="G739" i="4" l="1"/>
  <c r="H739" i="4"/>
  <c r="I739" i="4"/>
  <c r="J739" i="4"/>
  <c r="D741" i="4"/>
  <c r="D742" i="4"/>
  <c r="D740" i="4"/>
  <c r="H740" i="4" l="1"/>
  <c r="G740" i="4"/>
  <c r="J740" i="4"/>
  <c r="I740" i="4"/>
  <c r="J742" i="4"/>
  <c r="H742" i="4"/>
  <c r="I742" i="4"/>
  <c r="G742" i="4"/>
  <c r="D743" i="4"/>
  <c r="G741" i="4"/>
  <c r="H741" i="4"/>
  <c r="J741" i="4"/>
  <c r="I741" i="4"/>
  <c r="H743" i="4" l="1"/>
  <c r="I743" i="4"/>
  <c r="J743" i="4"/>
  <c r="G743" i="4"/>
  <c r="D744" i="4"/>
  <c r="H744" i="4" l="1"/>
  <c r="J744" i="4"/>
  <c r="D745" i="4"/>
  <c r="G744" i="4"/>
  <c r="I744" i="4"/>
  <c r="G745" i="4" l="1"/>
  <c r="I745" i="4"/>
  <c r="H745" i="4"/>
  <c r="J745" i="4"/>
  <c r="D746" i="4"/>
  <c r="G746" i="4" l="1"/>
  <c r="H746" i="4"/>
  <c r="J746" i="4"/>
  <c r="D749" i="4"/>
  <c r="I746" i="4"/>
  <c r="D748" i="4"/>
  <c r="D747" i="4"/>
  <c r="I747" i="4" l="1"/>
  <c r="J747" i="4"/>
  <c r="H747" i="4"/>
  <c r="G747" i="4"/>
  <c r="H748" i="4"/>
  <c r="G748" i="4"/>
  <c r="J748" i="4"/>
  <c r="I748" i="4"/>
  <c r="I749" i="4"/>
  <c r="J749" i="4"/>
  <c r="G749" i="4"/>
  <c r="H749" i="4"/>
  <c r="D750" i="4"/>
  <c r="H750" i="4" l="1"/>
  <c r="G750" i="4"/>
  <c r="I750" i="4"/>
  <c r="J750" i="4"/>
  <c r="D751" i="4"/>
  <c r="J751" i="4" l="1"/>
  <c r="D752" i="4"/>
  <c r="G751" i="4"/>
  <c r="H751" i="4"/>
  <c r="I751" i="4"/>
  <c r="H752" i="4" l="1"/>
  <c r="G752" i="4"/>
  <c r="I752" i="4"/>
  <c r="D753" i="4"/>
  <c r="J752" i="4"/>
  <c r="G753" i="4" l="1"/>
  <c r="H753" i="4"/>
  <c r="I753" i="4"/>
  <c r="J753" i="4"/>
  <c r="D754" i="4"/>
  <c r="D756" i="4"/>
  <c r="D755" i="4"/>
  <c r="I755" i="4" l="1"/>
  <c r="J755" i="4"/>
  <c r="H755" i="4"/>
  <c r="G755" i="4"/>
  <c r="H756" i="4"/>
  <c r="G756" i="4"/>
  <c r="I756" i="4"/>
  <c r="J756" i="4"/>
  <c r="D757" i="4"/>
  <c r="G754" i="4"/>
  <c r="H754" i="4"/>
  <c r="I754" i="4"/>
  <c r="J754" i="4"/>
  <c r="J757" i="4" l="1"/>
  <c r="D758" i="4"/>
  <c r="I757" i="4"/>
  <c r="G757" i="4"/>
  <c r="H757" i="4"/>
  <c r="J758" i="4" l="1"/>
  <c r="G758" i="4"/>
  <c r="I758" i="4"/>
  <c r="H758" i="4"/>
  <c r="D759" i="4"/>
  <c r="G759" i="4" l="1"/>
  <c r="H759" i="4"/>
  <c r="I759" i="4"/>
  <c r="J759" i="4"/>
  <c r="D760" i="4"/>
  <c r="H760" i="4" l="1"/>
  <c r="G760" i="4"/>
  <c r="I760" i="4"/>
  <c r="J760" i="4"/>
  <c r="D761" i="4"/>
  <c r="D763" i="4"/>
  <c r="D762" i="4"/>
  <c r="H762" i="4" l="1"/>
  <c r="G762" i="4"/>
  <c r="I762" i="4"/>
  <c r="J762" i="4"/>
  <c r="J763" i="4"/>
  <c r="G763" i="4"/>
  <c r="H763" i="4"/>
  <c r="I763" i="4"/>
  <c r="D764" i="4"/>
  <c r="G761" i="4"/>
  <c r="H761" i="4"/>
  <c r="J761" i="4"/>
  <c r="I761" i="4"/>
  <c r="H764" i="4" l="1"/>
  <c r="I764" i="4"/>
  <c r="G764" i="4"/>
  <c r="J764" i="4"/>
  <c r="D765" i="4"/>
  <c r="G765" i="4" l="1"/>
  <c r="H765" i="4"/>
  <c r="J765" i="4"/>
  <c r="D766" i="4"/>
  <c r="I765" i="4"/>
  <c r="G766" i="4" l="1"/>
  <c r="H766" i="4"/>
  <c r="I766" i="4"/>
  <c r="J766" i="4"/>
  <c r="D767" i="4"/>
  <c r="J767" i="4" l="1"/>
  <c r="D770" i="4"/>
  <c r="G767" i="4"/>
  <c r="H767" i="4"/>
  <c r="I767" i="4"/>
  <c r="D769" i="4"/>
  <c r="D768" i="4"/>
  <c r="G770" i="4" l="1"/>
  <c r="I770" i="4"/>
  <c r="D771" i="4"/>
  <c r="H770" i="4"/>
  <c r="J770" i="4"/>
  <c r="H768" i="4"/>
  <c r="G768" i="4"/>
  <c r="J768" i="4"/>
  <c r="I768" i="4"/>
  <c r="G769" i="4"/>
  <c r="H769" i="4"/>
  <c r="J769" i="4"/>
  <c r="I769" i="4"/>
  <c r="G771" i="4" l="1"/>
  <c r="H771" i="4"/>
  <c r="I771" i="4"/>
  <c r="J771" i="4"/>
  <c r="D772" i="4"/>
  <c r="H772" i="4" l="1"/>
  <c r="I772" i="4"/>
  <c r="J772" i="4"/>
  <c r="G772" i="4"/>
  <c r="D773" i="4"/>
  <c r="H773" i="4" l="1"/>
  <c r="J773" i="4"/>
  <c r="G773" i="4"/>
  <c r="I773" i="4"/>
  <c r="D774" i="4"/>
  <c r="G774" i="4" l="1"/>
  <c r="D776" i="4"/>
  <c r="I774" i="4"/>
  <c r="J774" i="4"/>
  <c r="D775" i="4"/>
  <c r="H774" i="4"/>
  <c r="D777" i="4"/>
  <c r="I775" i="4" l="1"/>
  <c r="J775" i="4"/>
  <c r="G775" i="4"/>
  <c r="H775" i="4"/>
  <c r="G777" i="4"/>
  <c r="H777" i="4"/>
  <c r="I777" i="4"/>
  <c r="J777" i="4"/>
  <c r="D778" i="4"/>
  <c r="H776" i="4"/>
  <c r="J776" i="4"/>
  <c r="G776" i="4"/>
  <c r="I776" i="4"/>
  <c r="G778" i="4" l="1"/>
  <c r="H778" i="4"/>
  <c r="I778" i="4"/>
  <c r="J778" i="4"/>
  <c r="D779" i="4"/>
  <c r="H779" i="4" l="1"/>
  <c r="J779" i="4"/>
  <c r="G779" i="4"/>
  <c r="I779" i="4"/>
  <c r="D780" i="4"/>
  <c r="H780" i="4" l="1"/>
  <c r="I780" i="4"/>
  <c r="J780" i="4"/>
  <c r="G780" i="4"/>
  <c r="D781" i="4"/>
  <c r="I781" i="4" l="1"/>
  <c r="H781" i="4"/>
  <c r="J781" i="4"/>
  <c r="G781" i="4"/>
  <c r="D783" i="4"/>
  <c r="D782" i="4"/>
  <c r="D784" i="4"/>
  <c r="H784" i="4" l="1"/>
  <c r="G784" i="4"/>
  <c r="I784" i="4"/>
  <c r="D785" i="4"/>
  <c r="J784" i="4"/>
  <c r="H782" i="4"/>
  <c r="G782" i="4"/>
  <c r="I782" i="4"/>
  <c r="J782" i="4"/>
  <c r="H783" i="4"/>
  <c r="G783" i="4"/>
  <c r="I783" i="4"/>
  <c r="J783" i="4"/>
  <c r="G785" i="4" l="1"/>
  <c r="H785" i="4"/>
  <c r="I785" i="4"/>
  <c r="J785" i="4"/>
  <c r="D786" i="4"/>
  <c r="H786" i="4" l="1"/>
  <c r="I786" i="4"/>
  <c r="J786" i="4"/>
  <c r="G786" i="4"/>
  <c r="D787" i="4"/>
  <c r="G787" i="4" l="1"/>
  <c r="H787" i="4"/>
  <c r="I787" i="4"/>
  <c r="J787" i="4"/>
  <c r="D788" i="4"/>
  <c r="H788" i="4" l="1"/>
  <c r="G788" i="4"/>
  <c r="I788" i="4"/>
  <c r="J788" i="4"/>
  <c r="D789" i="4"/>
  <c r="D790" i="4"/>
  <c r="D791" i="4"/>
  <c r="G790" i="4" l="1"/>
  <c r="H790" i="4"/>
  <c r="I790" i="4"/>
  <c r="J790" i="4"/>
  <c r="H791" i="4"/>
  <c r="I791" i="4"/>
  <c r="J791" i="4"/>
  <c r="D792" i="4"/>
  <c r="G791" i="4"/>
  <c r="H789" i="4"/>
  <c r="J789" i="4"/>
  <c r="G789" i="4"/>
  <c r="I789" i="4"/>
  <c r="H792" i="4" l="1"/>
  <c r="G792" i="4"/>
  <c r="I792" i="4"/>
  <c r="J792" i="4"/>
  <c r="D793" i="4"/>
  <c r="G793" i="4" l="1"/>
  <c r="I793" i="4"/>
  <c r="H793" i="4"/>
  <c r="J793" i="4"/>
  <c r="D794" i="4"/>
  <c r="J794" i="4" l="1"/>
  <c r="G794" i="4"/>
  <c r="H794" i="4"/>
  <c r="I794" i="4"/>
  <c r="D798" i="4"/>
  <c r="D797" i="4"/>
  <c r="D795" i="4"/>
  <c r="D796" i="4"/>
  <c r="H797" i="4" l="1"/>
  <c r="J797" i="4"/>
  <c r="G797" i="4"/>
  <c r="I797" i="4"/>
  <c r="H796" i="4"/>
  <c r="G796" i="4"/>
  <c r="J796" i="4"/>
  <c r="I796" i="4"/>
  <c r="H795" i="4"/>
  <c r="I795" i="4"/>
  <c r="J795" i="4"/>
  <c r="G795" i="4"/>
  <c r="G798" i="4"/>
  <c r="H798" i="4"/>
  <c r="I798" i="4"/>
  <c r="D799" i="4"/>
  <c r="J798" i="4"/>
  <c r="G799" i="4" l="1"/>
  <c r="H799" i="4"/>
  <c r="I799" i="4"/>
  <c r="J799" i="4"/>
  <c r="D800" i="4"/>
  <c r="H800" i="4" l="1"/>
  <c r="I800" i="4"/>
  <c r="G800" i="4"/>
  <c r="J800" i="4"/>
  <c r="D801" i="4"/>
  <c r="I801" i="4" l="1"/>
  <c r="H801" i="4"/>
  <c r="G801" i="4"/>
  <c r="J801" i="4"/>
  <c r="D802" i="4"/>
  <c r="H802" i="4" l="1"/>
  <c r="I802" i="4"/>
  <c r="J802" i="4"/>
  <c r="G802" i="4"/>
  <c r="D804" i="4"/>
  <c r="D805" i="4"/>
  <c r="D803" i="4"/>
  <c r="I803" i="4" l="1"/>
  <c r="G803" i="4"/>
  <c r="H803" i="4"/>
  <c r="J803" i="4"/>
  <c r="J805" i="4"/>
  <c r="H805" i="4"/>
  <c r="G805" i="4"/>
  <c r="I805" i="4"/>
  <c r="D806" i="4"/>
  <c r="H804" i="4"/>
  <c r="I804" i="4"/>
  <c r="J804" i="4"/>
  <c r="G804" i="4"/>
  <c r="I806" i="4" l="1"/>
  <c r="J806" i="4"/>
  <c r="G806" i="4"/>
  <c r="H806" i="4"/>
  <c r="D807" i="4"/>
  <c r="H807" i="4" l="1"/>
  <c r="I807" i="4"/>
  <c r="J807" i="4"/>
  <c r="D812" i="4"/>
  <c r="G807" i="4"/>
  <c r="D809" i="4"/>
  <c r="D811" i="4"/>
  <c r="D810" i="4"/>
  <c r="D808" i="4"/>
  <c r="G809" i="4" l="1"/>
  <c r="H809" i="4"/>
  <c r="J809" i="4"/>
  <c r="I809" i="4"/>
  <c r="I810" i="4"/>
  <c r="G810" i="4"/>
  <c r="H810" i="4"/>
  <c r="J810" i="4"/>
  <c r="H808" i="4"/>
  <c r="G808" i="4"/>
  <c r="J808" i="4"/>
  <c r="I808" i="4"/>
  <c r="G811" i="4"/>
  <c r="H811" i="4"/>
  <c r="I811" i="4"/>
  <c r="J811" i="4"/>
  <c r="H812" i="4"/>
  <c r="G812" i="4"/>
  <c r="I812" i="4"/>
  <c r="J812" i="4"/>
  <c r="D813" i="4"/>
  <c r="I813" i="4" l="1"/>
  <c r="J813" i="4"/>
  <c r="G813" i="4"/>
  <c r="H813" i="4"/>
  <c r="D814" i="4"/>
  <c r="G814" i="4" l="1"/>
  <c r="H814" i="4"/>
  <c r="J814" i="4"/>
  <c r="I814" i="4"/>
  <c r="D815" i="4"/>
  <c r="J815" i="4" l="1"/>
  <c r="I815" i="4"/>
  <c r="G815" i="4"/>
  <c r="H815" i="4"/>
  <c r="D816" i="4"/>
  <c r="H816" i="4" l="1"/>
  <c r="D818" i="4"/>
  <c r="D819" i="4"/>
  <c r="I816" i="4"/>
  <c r="J816" i="4"/>
  <c r="G816" i="4"/>
  <c r="D817" i="4"/>
  <c r="J817" i="4" l="1"/>
  <c r="H817" i="4"/>
  <c r="I817" i="4"/>
  <c r="G817" i="4"/>
  <c r="G818" i="4"/>
  <c r="H818" i="4"/>
  <c r="J818" i="4"/>
  <c r="I818" i="4"/>
  <c r="G819" i="4"/>
  <c r="H819" i="4"/>
  <c r="J819" i="4"/>
  <c r="I819" i="4"/>
  <c r="D820" i="4"/>
  <c r="H820" i="4" l="1"/>
  <c r="I820" i="4"/>
  <c r="G820" i="4"/>
  <c r="J820" i="4"/>
  <c r="D821" i="4"/>
  <c r="I821" i="4" l="1"/>
  <c r="H821" i="4"/>
  <c r="G821" i="4"/>
  <c r="J821" i="4"/>
  <c r="D822" i="4"/>
  <c r="G822" i="4" l="1"/>
  <c r="I822" i="4"/>
  <c r="J822" i="4"/>
  <c r="H822" i="4"/>
  <c r="D823" i="4"/>
  <c r="G823" i="4" l="1"/>
  <c r="H823" i="4"/>
  <c r="I823" i="4"/>
  <c r="J823" i="4"/>
  <c r="D824" i="4"/>
  <c r="D825" i="4"/>
  <c r="D826" i="4"/>
  <c r="H826" i="4" l="1"/>
  <c r="G826" i="4"/>
  <c r="I826" i="4"/>
  <c r="J826" i="4"/>
  <c r="D827" i="4"/>
  <c r="G825" i="4"/>
  <c r="H825" i="4"/>
  <c r="J825" i="4"/>
  <c r="I825" i="4"/>
  <c r="H824" i="4"/>
  <c r="J824" i="4"/>
  <c r="G824" i="4"/>
  <c r="I824" i="4"/>
  <c r="G827" i="4" l="1"/>
  <c r="I827" i="4"/>
  <c r="H827" i="4"/>
  <c r="J827" i="4"/>
  <c r="D830" i="4"/>
  <c r="D829" i="4"/>
  <c r="D828" i="4"/>
  <c r="D831" i="4"/>
  <c r="H828" i="4" l="1"/>
  <c r="G828" i="4"/>
  <c r="I828" i="4"/>
  <c r="J828" i="4"/>
  <c r="H831" i="4"/>
  <c r="I831" i="4"/>
  <c r="J831" i="4"/>
  <c r="D833" i="4"/>
  <c r="G831" i="4"/>
  <c r="D832" i="4"/>
  <c r="I829" i="4"/>
  <c r="J829" i="4"/>
  <c r="G829" i="4"/>
  <c r="H829" i="4"/>
  <c r="I830" i="4"/>
  <c r="G830" i="4"/>
  <c r="H830" i="4"/>
  <c r="J830" i="4"/>
  <c r="G833" i="4" l="1"/>
  <c r="H833" i="4"/>
  <c r="J833" i="4"/>
  <c r="I833" i="4"/>
  <c r="D834" i="4"/>
  <c r="H832" i="4"/>
  <c r="G832" i="4"/>
  <c r="I832" i="4"/>
  <c r="J832" i="4"/>
  <c r="J834" i="4" l="1"/>
  <c r="G834" i="4"/>
  <c r="H834" i="4"/>
  <c r="I834" i="4"/>
  <c r="D835" i="4"/>
  <c r="J835" i="4" l="1"/>
  <c r="G835" i="4"/>
  <c r="H835" i="4"/>
  <c r="I835" i="4"/>
  <c r="D836" i="4"/>
  <c r="H836" i="4" l="1"/>
  <c r="I836" i="4"/>
  <c r="G836" i="4"/>
  <c r="J836" i="4"/>
  <c r="D837" i="4"/>
  <c r="D838" i="4" l="1"/>
  <c r="G837" i="4"/>
  <c r="H837" i="4"/>
  <c r="I837" i="4"/>
  <c r="D840" i="4"/>
  <c r="J837" i="4"/>
  <c r="D839" i="4"/>
  <c r="J839" i="4" l="1"/>
  <c r="G839" i="4"/>
  <c r="H839" i="4"/>
  <c r="I839" i="4"/>
  <c r="H840" i="4"/>
  <c r="G840" i="4"/>
  <c r="I840" i="4"/>
  <c r="J840" i="4"/>
  <c r="D841" i="4"/>
  <c r="G838" i="4"/>
  <c r="H838" i="4"/>
  <c r="I838" i="4"/>
  <c r="J838" i="4"/>
  <c r="H841" i="4" l="1"/>
  <c r="I841" i="4"/>
  <c r="J841" i="4"/>
  <c r="G841" i="4"/>
  <c r="D842" i="4"/>
  <c r="H842" i="4" l="1"/>
  <c r="J842" i="4"/>
  <c r="D843" i="4"/>
  <c r="G842" i="4"/>
  <c r="I842" i="4"/>
  <c r="G843" i="4" l="1"/>
  <c r="H843" i="4"/>
  <c r="I843" i="4"/>
  <c r="J843" i="4"/>
  <c r="D844" i="4"/>
  <c r="H844" i="4" l="1"/>
  <c r="J844" i="4"/>
  <c r="I844" i="4"/>
  <c r="G844" i="4"/>
  <c r="D847" i="4"/>
  <c r="D846" i="4"/>
  <c r="D845" i="4"/>
  <c r="G845" i="4" l="1"/>
  <c r="H845" i="4"/>
  <c r="I845" i="4"/>
  <c r="J845" i="4"/>
  <c r="J846" i="4"/>
  <c r="G846" i="4"/>
  <c r="H846" i="4"/>
  <c r="I846" i="4"/>
  <c r="J847" i="4"/>
  <c r="D848" i="4"/>
  <c r="G847" i="4"/>
  <c r="I847" i="4"/>
  <c r="H847" i="4"/>
  <c r="H848" i="4" l="1"/>
  <c r="G848" i="4"/>
  <c r="D849" i="4"/>
  <c r="I848" i="4"/>
  <c r="J848" i="4"/>
  <c r="G849" i="4" l="1"/>
  <c r="I849" i="4"/>
  <c r="H849" i="4"/>
  <c r="J849" i="4"/>
  <c r="D850" i="4"/>
  <c r="G850" i="4" l="1"/>
  <c r="H850" i="4"/>
  <c r="I850" i="4"/>
  <c r="J850" i="4"/>
  <c r="D851" i="4"/>
  <c r="G851" i="4" l="1"/>
  <c r="H851" i="4"/>
  <c r="I851" i="4"/>
  <c r="J851" i="4"/>
  <c r="D852" i="4"/>
  <c r="D854" i="4"/>
  <c r="D853" i="4"/>
  <c r="G853" i="4" l="1"/>
  <c r="H853" i="4"/>
  <c r="I853" i="4"/>
  <c r="J853" i="4"/>
  <c r="G854" i="4"/>
  <c r="H854" i="4"/>
  <c r="I854" i="4"/>
  <c r="J854" i="4"/>
  <c r="D855" i="4"/>
  <c r="I852" i="4"/>
  <c r="J852" i="4"/>
  <c r="G852" i="4"/>
  <c r="H852" i="4"/>
  <c r="G855" i="4" l="1"/>
  <c r="H855" i="4"/>
  <c r="I855" i="4"/>
  <c r="J855" i="4"/>
  <c r="D856" i="4"/>
  <c r="G856" i="4" l="1"/>
  <c r="H856" i="4"/>
  <c r="I856" i="4"/>
  <c r="J856" i="4"/>
  <c r="D857" i="4"/>
  <c r="D858" i="4"/>
  <c r="G858" i="4" l="1"/>
  <c r="I858" i="4"/>
  <c r="J858" i="4"/>
  <c r="D859" i="4"/>
  <c r="H858" i="4"/>
  <c r="D861" i="4"/>
  <c r="D860" i="4"/>
  <c r="I857" i="4"/>
  <c r="J857" i="4"/>
  <c r="H857" i="4"/>
  <c r="G857" i="4"/>
  <c r="J861" i="4" l="1"/>
  <c r="H861" i="4"/>
  <c r="I861" i="4"/>
  <c r="G861" i="4"/>
  <c r="D862" i="4"/>
  <c r="G860" i="4"/>
  <c r="H860" i="4"/>
  <c r="I860" i="4"/>
  <c r="J860" i="4"/>
  <c r="G859" i="4"/>
  <c r="I859" i="4"/>
  <c r="J859" i="4"/>
  <c r="H859" i="4"/>
  <c r="G862" i="4" l="1"/>
  <c r="I862" i="4"/>
  <c r="J862" i="4"/>
  <c r="H862" i="4"/>
  <c r="D863" i="4"/>
  <c r="G863" i="4" l="1"/>
  <c r="H863" i="4"/>
  <c r="I863" i="4"/>
  <c r="J863" i="4"/>
  <c r="D864" i="4"/>
  <c r="G864" i="4" l="1"/>
  <c r="H864" i="4"/>
  <c r="J864" i="4"/>
  <c r="I864" i="4"/>
  <c r="D865" i="4"/>
  <c r="H865" i="4" l="1"/>
  <c r="G865" i="4"/>
  <c r="I865" i="4"/>
  <c r="J865" i="4"/>
  <c r="D867" i="4"/>
  <c r="D866" i="4"/>
  <c r="D868" i="4"/>
  <c r="G868" i="4" l="1"/>
  <c r="H868" i="4"/>
  <c r="I868" i="4"/>
  <c r="J868" i="4"/>
  <c r="D869" i="4"/>
  <c r="G866" i="4"/>
  <c r="I866" i="4"/>
  <c r="H866" i="4"/>
  <c r="J866" i="4"/>
  <c r="G867" i="4"/>
  <c r="I867" i="4"/>
  <c r="H867" i="4"/>
  <c r="J867" i="4"/>
  <c r="H869" i="4" l="1"/>
  <c r="I869" i="4"/>
  <c r="J869" i="4"/>
  <c r="G869" i="4"/>
  <c r="D870" i="4"/>
  <c r="G870" i="4" l="1"/>
  <c r="H870" i="4"/>
  <c r="I870" i="4"/>
  <c r="J870" i="4"/>
  <c r="D871" i="4"/>
  <c r="I871" i="4" l="1"/>
  <c r="G871" i="4"/>
  <c r="H871" i="4"/>
  <c r="J871" i="4"/>
  <c r="D872" i="4"/>
  <c r="G872" i="4" l="1"/>
  <c r="H872" i="4"/>
  <c r="I872" i="4"/>
  <c r="J872" i="4"/>
  <c r="D874" i="4"/>
  <c r="D875" i="4"/>
  <c r="D873" i="4"/>
  <c r="I875" i="4" l="1"/>
  <c r="G875" i="4"/>
  <c r="H875" i="4"/>
  <c r="J875" i="4"/>
  <c r="D876" i="4"/>
  <c r="G873" i="4"/>
  <c r="H873" i="4"/>
  <c r="I873" i="4"/>
  <c r="J873" i="4"/>
  <c r="H874" i="4"/>
  <c r="I874" i="4"/>
  <c r="J874" i="4"/>
  <c r="G874" i="4"/>
  <c r="G876" i="4" l="1"/>
  <c r="H876" i="4"/>
  <c r="D877" i="4"/>
  <c r="I876" i="4"/>
  <c r="J876" i="4"/>
  <c r="G877" i="4" l="1"/>
  <c r="H877" i="4"/>
  <c r="I877" i="4"/>
  <c r="J877" i="4"/>
  <c r="D878" i="4"/>
  <c r="I878" i="4" l="1"/>
  <c r="J878" i="4"/>
  <c r="G878" i="4"/>
  <c r="H878" i="4"/>
  <c r="D879" i="4"/>
  <c r="I879" i="4" l="1"/>
  <c r="G879" i="4"/>
  <c r="H879" i="4"/>
  <c r="J879" i="4"/>
  <c r="D881" i="4"/>
  <c r="D882" i="4"/>
  <c r="D880" i="4"/>
  <c r="H880" i="4" l="1"/>
  <c r="I880" i="4"/>
  <c r="J880" i="4"/>
  <c r="G880" i="4"/>
  <c r="I881" i="4"/>
  <c r="J881" i="4"/>
  <c r="G881" i="4"/>
  <c r="H881" i="4"/>
  <c r="J882" i="4"/>
  <c r="G882" i="4"/>
  <c r="H882" i="4"/>
  <c r="I882" i="4"/>
  <c r="D883" i="4"/>
  <c r="I883" i="4" l="1"/>
  <c r="G883" i="4"/>
  <c r="J883" i="4"/>
  <c r="H883" i="4"/>
  <c r="D884" i="4"/>
  <c r="H884" i="4" l="1"/>
  <c r="I884" i="4"/>
  <c r="J884" i="4"/>
  <c r="G884" i="4"/>
  <c r="D885" i="4"/>
  <c r="J885" i="4" l="1"/>
  <c r="G885" i="4"/>
  <c r="H885" i="4"/>
  <c r="I885" i="4"/>
  <c r="D886" i="4"/>
  <c r="G886" i="4" l="1"/>
  <c r="H886" i="4"/>
  <c r="I886" i="4"/>
  <c r="J886" i="4"/>
  <c r="D888" i="4"/>
  <c r="D889" i="4"/>
  <c r="D887" i="4"/>
  <c r="I887" i="4" l="1"/>
  <c r="H887" i="4"/>
  <c r="J887" i="4"/>
  <c r="G887" i="4"/>
  <c r="H889" i="4"/>
  <c r="G889" i="4"/>
  <c r="I889" i="4"/>
  <c r="J889" i="4"/>
  <c r="D890" i="4"/>
  <c r="G888" i="4"/>
  <c r="H888" i="4"/>
  <c r="I888" i="4"/>
  <c r="J888" i="4"/>
  <c r="D891" i="4" l="1"/>
  <c r="G890" i="4"/>
  <c r="H890" i="4"/>
  <c r="I890" i="4"/>
  <c r="J890" i="4"/>
  <c r="I891" i="4" l="1"/>
  <c r="G891" i="4"/>
  <c r="J891" i="4"/>
  <c r="H891" i="4"/>
  <c r="D892" i="4"/>
  <c r="H892" i="4" l="1"/>
  <c r="J892" i="4"/>
  <c r="I892" i="4"/>
  <c r="G892" i="4"/>
  <c r="D893" i="4"/>
  <c r="H893" i="4" l="1"/>
  <c r="I893" i="4"/>
  <c r="J893" i="4"/>
  <c r="D894" i="4"/>
  <c r="D895" i="4"/>
  <c r="G893" i="4"/>
  <c r="D897" i="4"/>
  <c r="D896" i="4"/>
  <c r="D898" i="4"/>
  <c r="G896" i="4" l="1"/>
  <c r="H896" i="4"/>
  <c r="I896" i="4"/>
  <c r="J896" i="4"/>
  <c r="G894" i="4"/>
  <c r="H894" i="4"/>
  <c r="I894" i="4"/>
  <c r="J894" i="4"/>
  <c r="G898" i="4"/>
  <c r="J898" i="4"/>
  <c r="D899" i="4"/>
  <c r="H898" i="4"/>
  <c r="I898" i="4"/>
  <c r="H897" i="4"/>
  <c r="J897" i="4"/>
  <c r="G897" i="4"/>
  <c r="I897" i="4"/>
  <c r="I895" i="4"/>
  <c r="G895" i="4"/>
  <c r="H895" i="4"/>
  <c r="J895" i="4"/>
  <c r="I899" i="4" l="1"/>
  <c r="G899" i="4"/>
  <c r="H899" i="4"/>
  <c r="J899" i="4"/>
  <c r="D900" i="4"/>
  <c r="J900" i="4" l="1"/>
  <c r="G900" i="4"/>
  <c r="H900" i="4"/>
  <c r="I900" i="4"/>
  <c r="D902" i="4"/>
  <c r="D903" i="4"/>
  <c r="D901" i="4"/>
  <c r="G901" i="4" l="1"/>
  <c r="H901" i="4"/>
  <c r="I901" i="4"/>
  <c r="J901" i="4"/>
  <c r="I903" i="4"/>
  <c r="H903" i="4"/>
  <c r="J903" i="4"/>
  <c r="G903" i="4"/>
  <c r="D904" i="4"/>
  <c r="G902" i="4"/>
  <c r="I902" i="4"/>
  <c r="J902" i="4"/>
  <c r="H902" i="4"/>
  <c r="I904" i="4" l="1"/>
  <c r="J904" i="4"/>
  <c r="D905" i="4"/>
  <c r="G904" i="4"/>
  <c r="H904" i="4"/>
  <c r="G905" i="4" l="1"/>
  <c r="H905" i="4"/>
  <c r="I905" i="4"/>
  <c r="J905" i="4"/>
  <c r="D906" i="4"/>
  <c r="D907" i="4" l="1"/>
  <c r="I906" i="4"/>
  <c r="G906" i="4"/>
  <c r="H906" i="4"/>
  <c r="J906" i="4"/>
  <c r="I907" i="4" l="1"/>
  <c r="J907" i="4"/>
  <c r="G907" i="4"/>
  <c r="H907" i="4"/>
  <c r="D910" i="4"/>
  <c r="D909" i="4"/>
  <c r="D908" i="4"/>
  <c r="G908" i="4" l="1"/>
  <c r="H908" i="4"/>
  <c r="J908" i="4"/>
  <c r="I908" i="4"/>
  <c r="G910" i="4"/>
  <c r="H910" i="4"/>
  <c r="I910" i="4"/>
  <c r="J910" i="4"/>
  <c r="D911" i="4"/>
  <c r="G909" i="4"/>
  <c r="H909" i="4"/>
  <c r="I909" i="4"/>
  <c r="J909" i="4"/>
  <c r="I911" i="4" l="1"/>
  <c r="G911" i="4"/>
  <c r="H911" i="4"/>
  <c r="J911" i="4"/>
  <c r="D912" i="4"/>
  <c r="H912" i="4" l="1"/>
  <c r="I912" i="4"/>
  <c r="G912" i="4"/>
  <c r="J912" i="4"/>
  <c r="D913" i="4"/>
  <c r="H913" i="4" l="1"/>
  <c r="J913" i="4"/>
  <c r="G913" i="4"/>
  <c r="I913" i="4"/>
  <c r="D914" i="4"/>
  <c r="I914" i="4" l="1"/>
  <c r="J914" i="4"/>
  <c r="D916" i="4"/>
  <c r="G914" i="4"/>
  <c r="H914" i="4"/>
  <c r="D915" i="4"/>
  <c r="D917" i="4"/>
  <c r="D918" i="4" l="1"/>
  <c r="G917" i="4"/>
  <c r="H917" i="4"/>
  <c r="I917" i="4"/>
  <c r="J917" i="4"/>
  <c r="I915" i="4"/>
  <c r="H915" i="4"/>
  <c r="J915" i="4"/>
  <c r="G915" i="4"/>
  <c r="G916" i="4"/>
  <c r="I916" i="4"/>
  <c r="J916" i="4"/>
  <c r="H916" i="4"/>
  <c r="G918" i="4" l="1"/>
  <c r="I918" i="4"/>
  <c r="D919" i="4"/>
  <c r="H918" i="4"/>
  <c r="J918" i="4"/>
  <c r="I919" i="4" l="1"/>
  <c r="G919" i="4"/>
  <c r="H919" i="4"/>
  <c r="J919" i="4"/>
  <c r="D920" i="4"/>
  <c r="G920" i="4" l="1"/>
  <c r="H920" i="4"/>
  <c r="J920" i="4"/>
  <c r="I920" i="4"/>
  <c r="D921" i="4"/>
  <c r="I921" i="4" l="1"/>
  <c r="J921" i="4"/>
  <c r="D923" i="4"/>
  <c r="H921" i="4"/>
  <c r="G921" i="4"/>
  <c r="D922" i="4"/>
  <c r="D924" i="4"/>
  <c r="G924" i="4" l="1"/>
  <c r="H924" i="4"/>
  <c r="I924" i="4"/>
  <c r="J924" i="4"/>
  <c r="D925" i="4"/>
  <c r="G922" i="4"/>
  <c r="H922" i="4"/>
  <c r="I922" i="4"/>
  <c r="J922" i="4"/>
  <c r="I923" i="4"/>
  <c r="G923" i="4"/>
  <c r="J923" i="4"/>
  <c r="H923" i="4"/>
  <c r="G925" i="4" l="1"/>
  <c r="H925" i="4"/>
  <c r="I925" i="4"/>
  <c r="J925" i="4"/>
  <c r="D926" i="4"/>
  <c r="I926" i="4" l="1"/>
  <c r="J926" i="4"/>
  <c r="G926" i="4"/>
  <c r="H926" i="4"/>
  <c r="D927" i="4"/>
  <c r="I927" i="4" l="1"/>
  <c r="G927" i="4"/>
  <c r="H927" i="4"/>
  <c r="J927" i="4"/>
  <c r="D928" i="4"/>
  <c r="H928" i="4" l="1"/>
  <c r="I928" i="4"/>
  <c r="J928" i="4"/>
  <c r="G928" i="4"/>
  <c r="D929" i="4"/>
  <c r="D931" i="4"/>
  <c r="D930" i="4"/>
  <c r="G930" i="4" l="1"/>
  <c r="H930" i="4"/>
  <c r="I930" i="4"/>
  <c r="J930" i="4"/>
  <c r="I931" i="4"/>
  <c r="H931" i="4"/>
  <c r="G931" i="4"/>
  <c r="J931" i="4"/>
  <c r="D932" i="4"/>
  <c r="G929" i="4"/>
  <c r="H929" i="4"/>
  <c r="I929" i="4"/>
  <c r="J929" i="4"/>
  <c r="I932" i="4" l="1"/>
  <c r="J932" i="4"/>
  <c r="G932" i="4"/>
  <c r="H932" i="4"/>
  <c r="D933" i="4"/>
  <c r="J933" i="4" l="1"/>
  <c r="D934" i="4"/>
  <c r="H933" i="4"/>
  <c r="I933" i="4"/>
  <c r="G933" i="4"/>
  <c r="G934" i="4" l="1"/>
  <c r="H934" i="4"/>
  <c r="I934" i="4"/>
  <c r="J934" i="4"/>
  <c r="D935" i="4"/>
  <c r="I935" i="4" l="1"/>
  <c r="J935" i="4"/>
  <c r="H935" i="4"/>
  <c r="G935" i="4"/>
  <c r="D936" i="4"/>
  <c r="D937" i="4"/>
  <c r="D938" i="4"/>
  <c r="H938" i="4" l="1"/>
  <c r="I938" i="4"/>
  <c r="J938" i="4"/>
  <c r="G938" i="4"/>
  <c r="D939" i="4"/>
  <c r="G937" i="4"/>
  <c r="H937" i="4"/>
  <c r="I937" i="4"/>
  <c r="J937" i="4"/>
  <c r="J936" i="4"/>
  <c r="G936" i="4"/>
  <c r="H936" i="4"/>
  <c r="I936" i="4"/>
  <c r="I939" i="4" l="1"/>
  <c r="J939" i="4"/>
  <c r="G939" i="4"/>
  <c r="H939" i="4"/>
  <c r="D940" i="4"/>
  <c r="G940" i="4" l="1"/>
  <c r="I940" i="4"/>
  <c r="H940" i="4"/>
  <c r="J940" i="4"/>
  <c r="D941" i="4"/>
  <c r="H941" i="4" l="1"/>
  <c r="G941" i="4"/>
  <c r="J941" i="4"/>
  <c r="I941" i="4"/>
  <c r="D942" i="4"/>
  <c r="D945" i="4" l="1"/>
  <c r="G942" i="4"/>
  <c r="H942" i="4"/>
  <c r="I942" i="4"/>
  <c r="D943" i="4"/>
  <c r="J942" i="4"/>
  <c r="D944" i="4"/>
  <c r="J944" i="4" l="1"/>
  <c r="G944" i="4"/>
  <c r="H944" i="4"/>
  <c r="I944" i="4"/>
  <c r="I943" i="4"/>
  <c r="G943" i="4"/>
  <c r="H943" i="4"/>
  <c r="J943" i="4"/>
  <c r="G945" i="4"/>
  <c r="I945" i="4"/>
  <c r="J945" i="4"/>
  <c r="H945" i="4"/>
  <c r="D946" i="4"/>
  <c r="I946" i="4" l="1"/>
  <c r="J946" i="4"/>
  <c r="H946" i="4"/>
  <c r="G946" i="4"/>
  <c r="D947" i="4"/>
  <c r="I947" i="4" l="1"/>
  <c r="J947" i="4"/>
  <c r="D948" i="4"/>
  <c r="G947" i="4"/>
  <c r="H947" i="4"/>
  <c r="G948" i="4" l="1"/>
  <c r="H948" i="4"/>
  <c r="I948" i="4"/>
  <c r="J948" i="4"/>
  <c r="D949" i="4"/>
  <c r="G949" i="4" l="1"/>
  <c r="H949" i="4"/>
  <c r="J949" i="4"/>
  <c r="D950" i="4"/>
  <c r="I949" i="4"/>
  <c r="D951" i="4"/>
  <c r="D952" i="4"/>
  <c r="I951" i="4" l="1"/>
  <c r="G951" i="4"/>
  <c r="H951" i="4"/>
  <c r="J951" i="4"/>
  <c r="G952" i="4"/>
  <c r="H952" i="4"/>
  <c r="I952" i="4"/>
  <c r="J952" i="4"/>
  <c r="D953" i="4"/>
  <c r="G950" i="4"/>
  <c r="H950" i="4"/>
  <c r="J950" i="4"/>
  <c r="I950" i="4"/>
  <c r="G953" i="4" l="1"/>
  <c r="H953" i="4"/>
  <c r="I953" i="4"/>
  <c r="J953" i="4"/>
  <c r="D954" i="4"/>
  <c r="H954" i="4" l="1"/>
  <c r="I954" i="4"/>
  <c r="J954" i="4"/>
  <c r="G954" i="4"/>
  <c r="D955" i="4"/>
  <c r="I955" i="4" l="1"/>
  <c r="H955" i="4"/>
  <c r="J955" i="4"/>
  <c r="G955" i="4"/>
  <c r="D956" i="4"/>
  <c r="H956" i="4" l="1"/>
  <c r="D959" i="4"/>
  <c r="I956" i="4"/>
  <c r="G956" i="4"/>
  <c r="J956" i="4"/>
  <c r="D957" i="4"/>
  <c r="D958" i="4"/>
  <c r="I958" i="4" l="1"/>
  <c r="J958" i="4"/>
  <c r="G958" i="4"/>
  <c r="H958" i="4"/>
  <c r="H957" i="4"/>
  <c r="I957" i="4"/>
  <c r="J957" i="4"/>
  <c r="G957" i="4"/>
  <c r="I959" i="4"/>
  <c r="G959" i="4"/>
  <c r="H959" i="4"/>
  <c r="J959" i="4"/>
  <c r="D960" i="4"/>
  <c r="J960" i="4" l="1"/>
  <c r="I960" i="4"/>
  <c r="G960" i="4"/>
  <c r="H960" i="4"/>
  <c r="D961" i="4"/>
  <c r="I961" i="4" l="1"/>
  <c r="J961" i="4"/>
  <c r="G961" i="4"/>
  <c r="H961" i="4"/>
  <c r="D962" i="4"/>
  <c r="G962" i="4" l="1"/>
  <c r="H962" i="4"/>
  <c r="I962" i="4"/>
  <c r="J962" i="4"/>
  <c r="D963" i="4"/>
  <c r="I963" i="4" l="1"/>
  <c r="G963" i="4"/>
  <c r="H963" i="4"/>
  <c r="J963" i="4"/>
  <c r="D964" i="4"/>
  <c r="D965" i="4"/>
  <c r="D966" i="4"/>
  <c r="G966" i="4" l="1"/>
  <c r="H966" i="4"/>
  <c r="I966" i="4"/>
  <c r="J966" i="4"/>
  <c r="D967" i="4"/>
  <c r="J965" i="4"/>
  <c r="G965" i="4"/>
  <c r="H965" i="4"/>
  <c r="I965" i="4"/>
  <c r="G964" i="4"/>
  <c r="H964" i="4"/>
  <c r="I964" i="4"/>
  <c r="J964" i="4"/>
  <c r="I967" i="4" l="1"/>
  <c r="G967" i="4"/>
  <c r="H967" i="4"/>
  <c r="J967" i="4"/>
  <c r="D968" i="4"/>
  <c r="I968" i="4" l="1"/>
  <c r="H968" i="4"/>
  <c r="J968" i="4"/>
  <c r="G968" i="4"/>
  <c r="D969" i="4"/>
  <c r="I969" i="4" l="1"/>
  <c r="J969" i="4"/>
  <c r="G969" i="4"/>
  <c r="H969" i="4"/>
  <c r="D970" i="4"/>
  <c r="H970" i="4" l="1"/>
  <c r="G970" i="4"/>
  <c r="J970" i="4"/>
  <c r="I970" i="4"/>
  <c r="D974" i="4"/>
  <c r="D975" i="4"/>
  <c r="D973" i="4"/>
  <c r="D971" i="4"/>
  <c r="D972" i="4"/>
  <c r="G973" i="4" l="1"/>
  <c r="H973" i="4"/>
  <c r="I973" i="4"/>
  <c r="J973" i="4"/>
  <c r="I971" i="4"/>
  <c r="H971" i="4"/>
  <c r="J971" i="4"/>
  <c r="G971" i="4"/>
  <c r="G974" i="4"/>
  <c r="I974" i="4"/>
  <c r="H974" i="4"/>
  <c r="J974" i="4"/>
  <c r="G972" i="4"/>
  <c r="I972" i="4"/>
  <c r="J972" i="4"/>
  <c r="H972" i="4"/>
  <c r="I975" i="4"/>
  <c r="H975" i="4"/>
  <c r="J975" i="4"/>
  <c r="D976" i="4"/>
  <c r="G975" i="4"/>
  <c r="G976" i="4" l="1"/>
  <c r="H976" i="4"/>
  <c r="I976" i="4"/>
  <c r="J976" i="4"/>
  <c r="D977" i="4"/>
  <c r="G977" i="4" l="1"/>
  <c r="I977" i="4"/>
  <c r="H977" i="4"/>
  <c r="J977" i="4"/>
  <c r="D978" i="4"/>
  <c r="D979" i="4"/>
  <c r="D980" i="4"/>
  <c r="I980" i="4" l="1"/>
  <c r="J980" i="4"/>
  <c r="G980" i="4"/>
  <c r="H980" i="4"/>
  <c r="D981" i="4"/>
  <c r="I979" i="4"/>
  <c r="G979" i="4"/>
  <c r="H979" i="4"/>
  <c r="J979" i="4"/>
  <c r="G978" i="4"/>
  <c r="H978" i="4"/>
  <c r="I978" i="4"/>
  <c r="J978" i="4"/>
  <c r="H981" i="4" l="1"/>
  <c r="I981" i="4"/>
  <c r="J981" i="4"/>
  <c r="D982" i="4"/>
  <c r="G981" i="4"/>
  <c r="G982" i="4" l="1"/>
  <c r="H982" i="4"/>
  <c r="I982" i="4"/>
  <c r="J982" i="4"/>
  <c r="D983" i="4"/>
  <c r="G983" i="4" l="1"/>
  <c r="H983" i="4"/>
  <c r="I983" i="4"/>
  <c r="J983" i="4"/>
  <c r="D984" i="4"/>
  <c r="H984" i="4" l="1"/>
  <c r="G984" i="4"/>
  <c r="I984" i="4"/>
  <c r="J984" i="4"/>
  <c r="D985" i="4"/>
  <c r="D986" i="4"/>
  <c r="D987" i="4"/>
  <c r="G987" i="4" l="1"/>
  <c r="H987" i="4"/>
  <c r="I987" i="4"/>
  <c r="J987" i="4"/>
  <c r="D988" i="4"/>
  <c r="G986" i="4"/>
  <c r="H986" i="4"/>
  <c r="I986" i="4"/>
  <c r="J986" i="4"/>
  <c r="G985" i="4"/>
  <c r="H985" i="4"/>
  <c r="J985" i="4"/>
  <c r="I985" i="4"/>
  <c r="J988" i="4" l="1"/>
  <c r="D989" i="4"/>
  <c r="G988" i="4"/>
  <c r="H988" i="4"/>
  <c r="I988" i="4"/>
  <c r="H989" i="4" l="1"/>
  <c r="I989" i="4"/>
  <c r="J989" i="4"/>
  <c r="G989" i="4"/>
  <c r="D990" i="4"/>
  <c r="G990" i="4" l="1"/>
  <c r="I990" i="4"/>
  <c r="H990" i="4"/>
  <c r="J990" i="4"/>
  <c r="D991" i="4"/>
  <c r="D993" i="4" l="1"/>
  <c r="H991" i="4"/>
  <c r="I991" i="4"/>
  <c r="J991" i="4"/>
  <c r="D992" i="4"/>
  <c r="G991" i="4"/>
  <c r="D994" i="4"/>
  <c r="G994" i="4" l="1"/>
  <c r="I994" i="4"/>
  <c r="J994" i="4"/>
  <c r="D995" i="4"/>
  <c r="H994" i="4"/>
  <c r="G992" i="4"/>
  <c r="H992" i="4"/>
  <c r="J992" i="4"/>
  <c r="I992" i="4"/>
  <c r="J993" i="4"/>
  <c r="G993" i="4"/>
  <c r="H993" i="4"/>
  <c r="I993" i="4"/>
  <c r="H995" i="4" l="1"/>
  <c r="G995" i="4"/>
  <c r="I995" i="4"/>
  <c r="J995" i="4"/>
  <c r="D996" i="4"/>
  <c r="G996" i="4" l="1"/>
  <c r="H996" i="4"/>
  <c r="I996" i="4"/>
  <c r="J996" i="4"/>
  <c r="D997" i="4"/>
  <c r="H997" i="4" l="1"/>
  <c r="I997" i="4"/>
  <c r="G997" i="4"/>
  <c r="J997" i="4"/>
  <c r="D998" i="4"/>
  <c r="G998" i="4" l="1"/>
  <c r="I998" i="4"/>
  <c r="H998" i="4"/>
  <c r="J998" i="4"/>
  <c r="D999" i="4"/>
  <c r="D1001" i="4"/>
  <c r="D1000" i="4"/>
  <c r="I1001" i="4" l="1"/>
  <c r="J1001" i="4"/>
  <c r="D1003" i="4"/>
  <c r="G1001" i="4"/>
  <c r="H1001" i="4"/>
  <c r="D1002" i="4"/>
  <c r="G999" i="4"/>
  <c r="H999" i="4"/>
  <c r="I999" i="4"/>
  <c r="J999" i="4"/>
  <c r="G1000" i="4"/>
  <c r="I1000" i="4"/>
  <c r="H1000" i="4"/>
  <c r="J1000" i="4"/>
  <c r="G1002" i="4" l="1"/>
  <c r="H1002" i="4"/>
  <c r="I1002" i="4"/>
  <c r="J1002" i="4"/>
  <c r="H1003" i="4"/>
  <c r="I1003" i="4"/>
  <c r="J1003" i="4"/>
  <c r="G1003" i="4"/>
  <c r="D1004" i="4"/>
  <c r="I1004" i="4" l="1"/>
  <c r="J1004" i="4"/>
  <c r="G1004" i="4"/>
  <c r="H1004" i="4"/>
  <c r="D1005" i="4"/>
  <c r="G1005" i="4" l="1"/>
  <c r="I1005" i="4"/>
  <c r="H1005" i="4"/>
  <c r="J1005" i="4"/>
  <c r="D1006" i="4"/>
  <c r="D1008" i="4"/>
  <c r="D1007" i="4"/>
  <c r="G1007" i="4" l="1"/>
  <c r="H1007" i="4"/>
  <c r="I1007" i="4"/>
  <c r="J1007" i="4"/>
  <c r="I1008" i="4"/>
  <c r="G1008" i="4"/>
  <c r="H1008" i="4"/>
  <c r="J1008" i="4"/>
  <c r="D1009" i="4"/>
  <c r="G1006" i="4"/>
  <c r="H1006" i="4"/>
  <c r="I1006" i="4"/>
  <c r="J1006" i="4"/>
  <c r="G1009" i="4" l="1"/>
  <c r="H1009" i="4"/>
  <c r="J1009" i="4"/>
  <c r="I1009" i="4"/>
  <c r="D1010" i="4"/>
  <c r="G1010" i="4" l="1"/>
  <c r="H1010" i="4"/>
  <c r="I1010" i="4"/>
  <c r="J1010" i="4"/>
  <c r="D1011" i="4"/>
  <c r="G1011" i="4" l="1"/>
  <c r="H1011" i="4"/>
  <c r="I1011" i="4"/>
  <c r="J1011" i="4"/>
  <c r="D1012" i="4"/>
  <c r="G1012" i="4" l="1"/>
  <c r="H1012" i="4"/>
  <c r="I1012" i="4"/>
  <c r="J1012" i="4"/>
  <c r="D1013" i="4"/>
  <c r="D1015" i="4"/>
  <c r="D1014" i="4"/>
  <c r="G1014" i="4" l="1"/>
  <c r="H1014" i="4"/>
  <c r="I1014" i="4"/>
  <c r="J1014" i="4"/>
  <c r="I1015" i="4"/>
  <c r="J1015" i="4"/>
  <c r="G1015" i="4"/>
  <c r="H1015" i="4"/>
  <c r="D1016" i="4"/>
  <c r="I1013" i="4"/>
  <c r="G1013" i="4"/>
  <c r="H1013" i="4"/>
  <c r="J1013" i="4"/>
  <c r="H1016" i="4" l="1"/>
  <c r="G1016" i="4"/>
  <c r="J1016" i="4"/>
  <c r="I1016" i="4"/>
  <c r="D1017" i="4"/>
  <c r="G1017" i="4" l="1"/>
  <c r="H1017" i="4"/>
  <c r="I1017" i="4"/>
  <c r="J1017" i="4"/>
  <c r="D1018" i="4"/>
  <c r="G1018" i="4" l="1"/>
  <c r="H1018" i="4"/>
  <c r="I1018" i="4"/>
  <c r="J1018" i="4"/>
  <c r="D1019" i="4"/>
  <c r="G1019" i="4" l="1"/>
  <c r="D1021" i="4"/>
  <c r="H1019" i="4"/>
  <c r="I1019" i="4"/>
  <c r="J1019" i="4"/>
  <c r="D1022" i="4"/>
  <c r="D1020" i="4"/>
  <c r="H1020" i="4" l="1"/>
  <c r="I1020" i="4"/>
  <c r="J1020" i="4"/>
  <c r="G1020" i="4"/>
  <c r="G1021" i="4"/>
  <c r="H1021" i="4"/>
  <c r="I1021" i="4"/>
  <c r="J1021" i="4"/>
  <c r="G1022" i="4"/>
  <c r="H1022" i="4"/>
  <c r="I1022" i="4"/>
  <c r="J1022" i="4"/>
  <c r="D1023" i="4"/>
  <c r="I1023" i="4" l="1"/>
  <c r="J1023" i="4"/>
  <c r="D1024" i="4"/>
  <c r="G1023" i="4"/>
  <c r="H1023" i="4"/>
  <c r="G1024" i="4" l="1"/>
  <c r="I1024" i="4"/>
  <c r="J1024" i="4"/>
  <c r="D1025" i="4"/>
  <c r="H1024" i="4"/>
  <c r="G1025" i="4" l="1"/>
  <c r="I1025" i="4"/>
  <c r="J1025" i="4"/>
  <c r="D1026" i="4"/>
  <c r="H1025" i="4"/>
  <c r="G1026" i="4" l="1"/>
  <c r="H1026" i="4"/>
  <c r="I1026" i="4"/>
  <c r="J1026" i="4"/>
  <c r="D1027" i="4"/>
  <c r="H1027" i="4" l="1"/>
  <c r="I1027" i="4"/>
  <c r="D1029" i="4"/>
  <c r="G1027" i="4"/>
  <c r="J1027" i="4"/>
  <c r="D1028" i="4"/>
  <c r="D1030" i="4"/>
  <c r="H1028" i="4" l="1"/>
  <c r="G1028" i="4"/>
  <c r="I1028" i="4"/>
  <c r="J1028" i="4"/>
  <c r="G1030" i="4"/>
  <c r="H1030" i="4"/>
  <c r="I1030" i="4"/>
  <c r="J1030" i="4"/>
  <c r="D1031" i="4"/>
  <c r="I1029" i="4"/>
  <c r="J1029" i="4"/>
  <c r="G1029" i="4"/>
  <c r="H1029" i="4"/>
  <c r="J1031" i="4" l="1"/>
  <c r="D1032" i="4"/>
  <c r="I1031" i="4"/>
  <c r="G1031" i="4"/>
  <c r="H1031" i="4"/>
  <c r="H1032" i="4" l="1"/>
  <c r="G1032" i="4"/>
  <c r="I1032" i="4"/>
  <c r="D1033" i="4"/>
  <c r="J1032" i="4"/>
  <c r="I1033" i="4" l="1"/>
  <c r="J1033" i="4"/>
  <c r="D1034" i="4"/>
  <c r="G1033" i="4"/>
  <c r="H1033" i="4"/>
  <c r="G1034" i="4" l="1"/>
  <c r="H1034" i="4"/>
  <c r="I1034" i="4"/>
  <c r="J1034" i="4"/>
  <c r="D1037" i="4"/>
  <c r="D1036" i="4"/>
  <c r="D1035" i="4"/>
  <c r="G1035" i="4" l="1"/>
  <c r="I1035" i="4"/>
  <c r="J1035" i="4"/>
  <c r="H1035" i="4"/>
  <c r="H1037" i="4"/>
  <c r="G1037" i="4"/>
  <c r="J1037" i="4"/>
  <c r="I1037" i="4"/>
  <c r="D1038" i="4"/>
  <c r="J1036" i="4"/>
  <c r="G1036" i="4"/>
  <c r="H1036" i="4"/>
  <c r="I1036" i="4"/>
  <c r="G1038" i="4" l="1"/>
  <c r="H1038" i="4"/>
  <c r="I1038" i="4"/>
  <c r="J1038" i="4"/>
  <c r="D1039" i="4"/>
  <c r="G1039" i="4" l="1"/>
  <c r="H1039" i="4"/>
  <c r="I1039" i="4"/>
  <c r="J1039" i="4"/>
  <c r="D1040" i="4"/>
  <c r="G1040" i="4" l="1"/>
  <c r="H1040" i="4"/>
  <c r="I1040" i="4"/>
  <c r="J1040" i="4"/>
  <c r="D1041" i="4"/>
  <c r="G1041" i="4" l="1"/>
  <c r="H1041" i="4"/>
  <c r="I1041" i="4"/>
  <c r="J1041" i="4"/>
  <c r="D1042" i="4"/>
  <c r="D1043" i="4"/>
  <c r="D1044" i="4"/>
  <c r="G1044" i="4" l="1"/>
  <c r="H1044" i="4"/>
  <c r="D1045" i="4"/>
  <c r="I1044" i="4"/>
  <c r="J1044" i="4"/>
  <c r="J1043" i="4"/>
  <c r="I1043" i="4"/>
  <c r="G1043" i="4"/>
  <c r="H1043" i="4"/>
  <c r="G1042" i="4"/>
  <c r="H1042" i="4"/>
  <c r="I1042" i="4"/>
  <c r="J1042" i="4"/>
  <c r="J1045" i="4" l="1"/>
  <c r="G1045" i="4"/>
  <c r="I1045" i="4"/>
  <c r="H1045" i="4"/>
  <c r="D1046" i="4"/>
  <c r="G1046" i="4" l="1"/>
  <c r="H1046" i="4"/>
  <c r="I1046" i="4"/>
  <c r="J1046" i="4"/>
  <c r="D1047" i="4"/>
  <c r="G1047" i="4" l="1"/>
  <c r="H1047" i="4"/>
  <c r="I1047" i="4"/>
  <c r="J1047" i="4"/>
  <c r="D1048" i="4"/>
  <c r="G1048" i="4" l="1"/>
  <c r="H1048" i="4"/>
  <c r="J1048" i="4"/>
  <c r="I1048" i="4"/>
  <c r="D1049" i="4"/>
  <c r="D1050" i="4"/>
  <c r="D1051" i="4"/>
  <c r="G1050" i="4" l="1"/>
  <c r="H1050" i="4"/>
  <c r="I1050" i="4"/>
  <c r="J1050" i="4"/>
  <c r="H1051" i="4"/>
  <c r="G1051" i="4"/>
  <c r="I1051" i="4"/>
  <c r="J1051" i="4"/>
  <c r="D1052" i="4"/>
  <c r="H1049" i="4"/>
  <c r="I1049" i="4"/>
  <c r="J1049" i="4"/>
  <c r="G1049" i="4"/>
  <c r="I1052" i="4" l="1"/>
  <c r="J1052" i="4"/>
  <c r="G1052" i="4"/>
  <c r="H1052" i="4"/>
  <c r="D1053" i="4"/>
  <c r="G1053" i="4" l="1"/>
  <c r="H1053" i="4"/>
  <c r="I1053" i="4"/>
  <c r="J1053" i="4"/>
  <c r="D1054" i="4"/>
  <c r="G1054" i="4" l="1"/>
  <c r="H1054" i="4"/>
  <c r="I1054" i="4"/>
  <c r="J1054" i="4"/>
  <c r="D1055" i="4"/>
  <c r="G1055" i="4" l="1"/>
  <c r="H1055" i="4"/>
  <c r="I1055" i="4"/>
  <c r="D1057" i="4"/>
  <c r="J1055" i="4"/>
  <c r="D1056" i="4"/>
  <c r="D1058" i="4"/>
  <c r="J1056" i="4" l="1"/>
  <c r="G1056" i="4"/>
  <c r="H1056" i="4"/>
  <c r="I1056" i="4"/>
  <c r="G1058" i="4"/>
  <c r="I1058" i="4"/>
  <c r="H1058" i="4"/>
  <c r="J1058" i="4"/>
  <c r="D1059" i="4"/>
  <c r="G1057" i="4"/>
  <c r="I1057" i="4"/>
  <c r="H1057" i="4"/>
  <c r="J1057" i="4"/>
  <c r="H1059" i="4" l="1"/>
  <c r="I1059" i="4"/>
  <c r="J1059" i="4"/>
  <c r="D1060" i="4"/>
  <c r="G1059" i="4"/>
  <c r="H1060" i="4" l="1"/>
  <c r="I1060" i="4"/>
  <c r="J1060" i="4"/>
  <c r="G1060" i="4"/>
  <c r="D1061" i="4"/>
  <c r="G1061" i="4" l="1"/>
  <c r="H1061" i="4"/>
  <c r="I1061" i="4"/>
  <c r="J1061" i="4"/>
  <c r="D1062" i="4"/>
  <c r="G1062" i="4" l="1"/>
  <c r="I1062" i="4"/>
  <c r="H1062" i="4"/>
  <c r="J1062" i="4"/>
  <c r="D1065" i="4"/>
  <c r="D1064" i="4"/>
  <c r="D1063" i="4"/>
  <c r="G1063" i="4" l="1"/>
  <c r="J1063" i="4"/>
  <c r="H1063" i="4"/>
  <c r="I1063" i="4"/>
  <c r="I1065" i="4"/>
  <c r="J1065" i="4"/>
  <c r="G1065" i="4"/>
  <c r="H1065" i="4"/>
  <c r="D1066" i="4"/>
  <c r="H1064" i="4"/>
  <c r="G1064" i="4"/>
  <c r="J1064" i="4"/>
  <c r="I1064" i="4"/>
  <c r="G1066" i="4" l="1"/>
  <c r="I1066" i="4"/>
  <c r="J1066" i="4"/>
  <c r="H1066" i="4"/>
  <c r="D1067" i="4"/>
  <c r="G1067" i="4" l="1"/>
  <c r="H1067" i="4"/>
  <c r="I1067" i="4"/>
  <c r="J1067" i="4"/>
  <c r="D1068" i="4"/>
  <c r="G1068" i="4" l="1"/>
  <c r="H1068" i="4"/>
  <c r="J1068" i="4"/>
  <c r="I1068" i="4"/>
  <c r="D1069" i="4"/>
  <c r="D1072" i="4" l="1"/>
  <c r="G1069" i="4"/>
  <c r="J1069" i="4"/>
  <c r="D1071" i="4"/>
  <c r="H1069" i="4"/>
  <c r="I1069" i="4"/>
  <c r="D1070" i="4"/>
  <c r="D1073" i="4"/>
  <c r="G1073" i="4" l="1"/>
  <c r="H1073" i="4"/>
  <c r="I1073" i="4"/>
  <c r="J1073" i="4"/>
  <c r="D1074" i="4"/>
  <c r="G1070" i="4"/>
  <c r="I1070" i="4"/>
  <c r="J1070" i="4"/>
  <c r="H1070" i="4"/>
  <c r="G1071" i="4"/>
  <c r="H1071" i="4"/>
  <c r="I1071" i="4"/>
  <c r="J1071" i="4"/>
  <c r="G1072" i="4"/>
  <c r="H1072" i="4"/>
  <c r="J1072" i="4"/>
  <c r="I1072" i="4"/>
  <c r="G1074" i="4" l="1"/>
  <c r="I1074" i="4"/>
  <c r="H1074" i="4"/>
  <c r="J1074" i="4"/>
  <c r="D1075" i="4"/>
  <c r="H1075" i="4" l="1"/>
  <c r="I1075" i="4"/>
  <c r="J1075" i="4"/>
  <c r="G1075" i="4"/>
  <c r="D1076" i="4"/>
  <c r="J1076" i="4" l="1"/>
  <c r="D1077" i="4"/>
  <c r="H1076" i="4"/>
  <c r="I1076" i="4"/>
  <c r="G1076" i="4"/>
  <c r="H1077" i="4" l="1"/>
  <c r="G1077" i="4"/>
  <c r="I1077" i="4"/>
  <c r="J1077" i="4"/>
  <c r="D1078" i="4"/>
  <c r="D1079" i="4"/>
  <c r="G1078" i="4" l="1"/>
  <c r="I1078" i="4"/>
  <c r="J1078" i="4"/>
  <c r="H1078" i="4"/>
  <c r="G1079" i="4"/>
  <c r="H1079" i="4"/>
  <c r="I1079" i="4"/>
  <c r="J1079" i="4"/>
  <c r="D1080" i="4"/>
  <c r="G1080" i="4" l="1"/>
  <c r="H1080" i="4"/>
  <c r="I1080" i="4"/>
  <c r="J1080" i="4"/>
  <c r="D1081" i="4"/>
  <c r="I1081" i="4" l="1"/>
  <c r="J1081" i="4"/>
  <c r="G1081" i="4"/>
  <c r="H1081" i="4"/>
  <c r="D1082" i="4"/>
  <c r="G1082" i="4" l="1"/>
  <c r="I1082" i="4"/>
  <c r="H1082" i="4"/>
  <c r="D1083" i="4"/>
  <c r="J1082" i="4"/>
  <c r="G1083" i="4" l="1"/>
  <c r="I1083" i="4"/>
  <c r="H1083" i="4"/>
  <c r="J1083" i="4"/>
  <c r="D1086" i="4"/>
  <c r="D1085" i="4"/>
  <c r="D1084" i="4"/>
  <c r="G1086" i="4" l="1"/>
  <c r="I1086" i="4"/>
  <c r="H1086" i="4"/>
  <c r="J1086" i="4"/>
  <c r="D1087" i="4"/>
  <c r="H1085" i="4"/>
  <c r="G1085" i="4"/>
  <c r="I1085" i="4"/>
  <c r="J1085" i="4"/>
  <c r="I1084" i="4"/>
  <c r="J1084" i="4"/>
  <c r="H1084" i="4"/>
  <c r="G1084" i="4"/>
  <c r="G1087" i="4" l="1"/>
  <c r="H1087" i="4"/>
  <c r="I1087" i="4"/>
  <c r="J1087" i="4"/>
  <c r="D1088" i="4"/>
  <c r="I1088" i="4" l="1"/>
  <c r="J1088" i="4"/>
  <c r="G1088" i="4"/>
  <c r="H1088" i="4"/>
  <c r="D1089" i="4"/>
  <c r="G1089" i="4" l="1"/>
  <c r="H1089" i="4"/>
  <c r="I1089" i="4"/>
  <c r="J1089" i="4"/>
  <c r="D1090" i="4"/>
  <c r="G1090" i="4" l="1"/>
  <c r="I1090" i="4"/>
  <c r="D1095" i="4"/>
  <c r="H1090" i="4"/>
  <c r="D1094" i="4"/>
  <c r="J1090" i="4"/>
  <c r="D1093" i="4"/>
  <c r="D1096" i="4"/>
  <c r="D1091" i="4"/>
  <c r="D1092" i="4"/>
  <c r="D1097" i="4"/>
  <c r="G1093" i="4" l="1"/>
  <c r="H1093" i="4"/>
  <c r="I1093" i="4"/>
  <c r="J1093" i="4"/>
  <c r="G1092" i="4"/>
  <c r="I1092" i="4"/>
  <c r="J1092" i="4"/>
  <c r="H1092" i="4"/>
  <c r="I1091" i="4"/>
  <c r="J1091" i="4"/>
  <c r="H1091" i="4"/>
  <c r="G1091" i="4"/>
  <c r="G1094" i="4"/>
  <c r="I1094" i="4"/>
  <c r="H1094" i="4"/>
  <c r="J1094" i="4"/>
  <c r="G1097" i="4"/>
  <c r="H1097" i="4"/>
  <c r="I1097" i="4"/>
  <c r="J1097" i="4"/>
  <c r="D1098" i="4"/>
  <c r="H1096" i="4"/>
  <c r="I1096" i="4"/>
  <c r="J1096" i="4"/>
  <c r="G1096" i="4"/>
  <c r="H1095" i="4"/>
  <c r="I1095" i="4"/>
  <c r="J1095" i="4"/>
  <c r="G1095" i="4"/>
  <c r="G1098" i="4" l="1"/>
  <c r="I1098" i="4"/>
  <c r="D1100" i="4"/>
  <c r="H1098" i="4"/>
  <c r="D1099" i="4"/>
  <c r="J1098" i="4"/>
  <c r="G1099" i="4" l="1"/>
  <c r="I1099" i="4"/>
  <c r="J1099" i="4"/>
  <c r="H1099" i="4"/>
  <c r="G1100" i="4"/>
  <c r="H1100" i="4"/>
  <c r="J1100" i="4"/>
  <c r="I1100" i="4"/>
  <c r="D1101" i="4"/>
  <c r="G1101" i="4" l="1"/>
  <c r="H1101" i="4"/>
  <c r="I1101" i="4"/>
  <c r="J1101" i="4"/>
  <c r="D1102" i="4"/>
  <c r="G1102" i="4" l="1"/>
  <c r="I1102" i="4"/>
  <c r="H1102" i="4"/>
  <c r="J1102" i="4"/>
  <c r="D1103" i="4"/>
  <c r="G1103" i="4" l="1"/>
  <c r="I1103" i="4"/>
  <c r="J1103" i="4"/>
  <c r="H1103" i="4"/>
  <c r="D1104" i="4"/>
  <c r="H1104" i="4" l="1"/>
  <c r="I1104" i="4"/>
  <c r="J1104" i="4"/>
  <c r="D1106" i="4"/>
  <c r="D1107" i="4"/>
  <c r="D1105" i="4"/>
  <c r="G1104" i="4"/>
  <c r="J1105" i="4" l="1"/>
  <c r="I1105" i="4"/>
  <c r="G1105" i="4"/>
  <c r="H1105" i="4"/>
  <c r="I1106" i="4"/>
  <c r="G1106" i="4"/>
  <c r="H1106" i="4"/>
  <c r="J1106" i="4"/>
  <c r="G1107" i="4"/>
  <c r="H1107" i="4"/>
  <c r="I1107" i="4"/>
  <c r="J1107" i="4"/>
  <c r="D1108" i="4"/>
  <c r="I1108" i="4" l="1"/>
  <c r="J1108" i="4"/>
  <c r="G1108" i="4"/>
  <c r="H1108" i="4"/>
  <c r="D1109" i="4"/>
  <c r="G1109" i="4" l="1"/>
  <c r="H1109" i="4"/>
  <c r="J1109" i="4"/>
  <c r="I1109" i="4"/>
  <c r="D1110" i="4"/>
  <c r="I1110" i="4" l="1"/>
  <c r="G1110" i="4"/>
  <c r="H1110" i="4"/>
  <c r="J1110" i="4"/>
  <c r="D1111" i="4"/>
  <c r="G1111" i="4" l="1"/>
  <c r="I1111" i="4"/>
  <c r="J1111" i="4"/>
  <c r="H1111" i="4"/>
  <c r="D1113" i="4"/>
  <c r="D1114" i="4"/>
  <c r="D1112" i="4"/>
  <c r="J1112" i="4" l="1"/>
  <c r="G1112" i="4"/>
  <c r="H1112" i="4"/>
  <c r="I1112" i="4"/>
  <c r="J1114" i="4"/>
  <c r="G1114" i="4"/>
  <c r="H1114" i="4"/>
  <c r="I1114" i="4"/>
  <c r="D1115" i="4"/>
  <c r="G1113" i="4"/>
  <c r="H1113" i="4"/>
  <c r="J1113" i="4"/>
  <c r="I1113" i="4"/>
  <c r="H1115" i="4" l="1"/>
  <c r="I1115" i="4"/>
  <c r="J1115" i="4"/>
  <c r="G1115" i="4"/>
  <c r="D1116" i="4"/>
  <c r="J1116" i="4" l="1"/>
  <c r="G1116" i="4"/>
  <c r="H1116" i="4"/>
  <c r="I1116" i="4"/>
  <c r="D1117" i="4"/>
  <c r="G1117" i="4" l="1"/>
  <c r="H1117" i="4"/>
  <c r="I1117" i="4"/>
  <c r="J1117" i="4"/>
  <c r="D1118" i="4"/>
  <c r="J1118" i="4" l="1"/>
  <c r="D1120" i="4"/>
  <c r="H1118" i="4"/>
  <c r="G1118" i="4"/>
  <c r="I1118" i="4"/>
  <c r="D1121" i="4"/>
  <c r="D1119" i="4"/>
  <c r="G1121" i="4" l="1"/>
  <c r="I1121" i="4"/>
  <c r="J1121" i="4"/>
  <c r="H1121" i="4"/>
  <c r="D1122" i="4"/>
  <c r="J1120" i="4"/>
  <c r="G1120" i="4"/>
  <c r="H1120" i="4"/>
  <c r="I1120" i="4"/>
  <c r="G1119" i="4"/>
  <c r="H1119" i="4"/>
  <c r="I1119" i="4"/>
  <c r="J1119" i="4"/>
  <c r="H1122" i="4" l="1"/>
  <c r="I1122" i="4"/>
  <c r="G1122" i="4"/>
  <c r="J1122" i="4"/>
  <c r="D1123" i="4"/>
  <c r="J1123" i="4" l="1"/>
  <c r="H1123" i="4"/>
  <c r="I1123" i="4"/>
  <c r="G1123" i="4"/>
  <c r="D1124" i="4"/>
  <c r="J1124" i="4" l="1"/>
  <c r="I1124" i="4"/>
  <c r="H1124" i="4"/>
  <c r="G1124" i="4"/>
  <c r="D1125" i="4"/>
  <c r="G1125" i="4" l="1"/>
  <c r="H1125" i="4"/>
  <c r="I1125" i="4"/>
  <c r="D1127" i="4"/>
  <c r="D1128" i="4"/>
  <c r="J1125" i="4"/>
  <c r="D1126" i="4"/>
  <c r="J1128" i="4" l="1"/>
  <c r="G1128" i="4"/>
  <c r="H1128" i="4"/>
  <c r="I1128" i="4"/>
  <c r="D1129" i="4"/>
  <c r="H1126" i="4"/>
  <c r="I1126" i="4"/>
  <c r="J1126" i="4"/>
  <c r="G1126" i="4"/>
  <c r="H1127" i="4"/>
  <c r="I1127" i="4"/>
  <c r="G1127" i="4"/>
  <c r="J1127" i="4"/>
  <c r="G1129" i="4" l="1"/>
  <c r="J1129" i="4"/>
  <c r="D1130" i="4"/>
  <c r="I1129" i="4"/>
  <c r="H1129" i="4"/>
  <c r="I1130" i="4" l="1"/>
  <c r="G1130" i="4"/>
  <c r="H1130" i="4"/>
  <c r="J1130" i="4"/>
  <c r="D1131" i="4"/>
  <c r="J1131" i="4" l="1"/>
  <c r="I1131" i="4"/>
  <c r="G1131" i="4"/>
  <c r="H1131" i="4"/>
  <c r="D1132" i="4"/>
  <c r="J1132" i="4" l="1"/>
  <c r="H1132" i="4"/>
  <c r="I1132" i="4"/>
  <c r="D1135" i="4"/>
  <c r="G1132" i="4"/>
  <c r="D1133" i="4"/>
  <c r="D1134" i="4"/>
  <c r="G1134" i="4" l="1"/>
  <c r="H1134" i="4"/>
  <c r="I1134" i="4"/>
  <c r="J1134" i="4"/>
  <c r="G1133" i="4"/>
  <c r="I1133" i="4"/>
  <c r="J1133" i="4"/>
  <c r="H1133" i="4"/>
  <c r="G1135" i="4"/>
  <c r="H1135" i="4"/>
  <c r="I1135" i="4"/>
  <c r="J1135" i="4"/>
  <c r="D1136" i="4"/>
  <c r="J1136" i="4" l="1"/>
  <c r="I1136" i="4"/>
  <c r="G1136" i="4"/>
  <c r="H1136" i="4"/>
  <c r="D1137" i="4"/>
  <c r="G1137" i="4" l="1"/>
  <c r="H1137" i="4"/>
  <c r="I1137" i="4"/>
  <c r="J1137" i="4"/>
  <c r="D1138" i="4"/>
  <c r="G1138" i="4" l="1"/>
  <c r="J1138" i="4"/>
  <c r="H1138" i="4"/>
  <c r="I1138" i="4"/>
  <c r="D1139" i="4"/>
  <c r="G1139" i="4" l="1"/>
  <c r="H1139" i="4"/>
  <c r="I1139" i="4"/>
  <c r="J1139" i="4"/>
  <c r="D1142" i="4"/>
  <c r="D1141" i="4"/>
  <c r="D1140" i="4"/>
  <c r="J1140" i="4" l="1"/>
  <c r="G1140" i="4"/>
  <c r="H1140" i="4"/>
  <c r="I1140" i="4"/>
  <c r="G1141" i="4"/>
  <c r="H1141" i="4"/>
  <c r="J1141" i="4"/>
  <c r="I1141" i="4"/>
  <c r="H1142" i="4"/>
  <c r="G1142" i="4"/>
  <c r="I1142" i="4"/>
  <c r="J1142" i="4"/>
  <c r="D1143" i="4"/>
  <c r="H1143" i="4" l="1"/>
  <c r="I1143" i="4"/>
  <c r="J1143" i="4"/>
  <c r="G1143" i="4"/>
  <c r="D1144" i="4"/>
  <c r="J1144" i="4" l="1"/>
  <c r="G1144" i="4"/>
  <c r="H1144" i="4"/>
  <c r="I1144" i="4"/>
  <c r="D1145" i="4"/>
  <c r="G1145" i="4" l="1"/>
  <c r="I1145" i="4"/>
  <c r="J1145" i="4"/>
  <c r="H1145" i="4"/>
  <c r="D1146" i="4"/>
  <c r="G1146" i="4" l="1"/>
  <c r="H1146" i="4"/>
  <c r="I1146" i="4"/>
  <c r="J1146" i="4"/>
  <c r="D1147" i="4"/>
  <c r="D1148" i="4"/>
  <c r="D1149" i="4"/>
  <c r="G1149" i="4" l="1"/>
  <c r="H1149" i="4"/>
  <c r="I1149" i="4"/>
  <c r="J1149" i="4"/>
  <c r="D1150" i="4"/>
  <c r="J1148" i="4"/>
  <c r="G1148" i="4"/>
  <c r="H1148" i="4"/>
  <c r="I1148" i="4"/>
  <c r="J1147" i="4"/>
  <c r="I1147" i="4"/>
  <c r="G1147" i="4"/>
  <c r="H1147" i="4"/>
  <c r="G1150" i="4" l="1"/>
  <c r="H1150" i="4"/>
  <c r="I1150" i="4"/>
  <c r="J1150" i="4"/>
  <c r="D1151" i="4"/>
  <c r="G1151" i="4" l="1"/>
  <c r="H1151" i="4"/>
  <c r="J1151" i="4"/>
  <c r="I1151" i="4"/>
  <c r="D1152" i="4"/>
  <c r="J1152" i="4" l="1"/>
  <c r="I1152" i="4"/>
  <c r="H1152" i="4"/>
  <c r="G1152" i="4"/>
  <c r="D1153" i="4"/>
  <c r="G1153" i="4" l="1"/>
  <c r="H1153" i="4"/>
  <c r="I1153" i="4"/>
  <c r="D1156" i="4"/>
  <c r="J1153" i="4"/>
  <c r="D1154" i="4"/>
  <c r="D1155" i="4"/>
  <c r="I1155" i="4" l="1"/>
  <c r="H1155" i="4"/>
  <c r="G1155" i="4"/>
  <c r="J1155" i="4"/>
  <c r="G1154" i="4"/>
  <c r="H1154" i="4"/>
  <c r="J1154" i="4"/>
  <c r="I1154" i="4"/>
  <c r="J1156" i="4"/>
  <c r="I1156" i="4"/>
  <c r="G1156" i="4"/>
  <c r="H1156" i="4"/>
  <c r="D1157" i="4"/>
  <c r="G1157" i="4" l="1"/>
  <c r="J1157" i="4"/>
  <c r="D1158" i="4"/>
  <c r="H1157" i="4"/>
  <c r="I1157" i="4"/>
  <c r="G1158" i="4" l="1"/>
  <c r="H1158" i="4"/>
  <c r="I1158" i="4"/>
  <c r="J1158" i="4"/>
  <c r="D1159" i="4"/>
  <c r="G1159" i="4" l="1"/>
  <c r="H1159" i="4"/>
  <c r="I1159" i="4"/>
  <c r="J1159" i="4"/>
  <c r="D1160" i="4"/>
  <c r="J1160" i="4" l="1"/>
  <c r="H1160" i="4"/>
  <c r="D1163" i="4"/>
  <c r="G1160" i="4"/>
  <c r="I1160" i="4"/>
  <c r="D1164" i="4"/>
  <c r="D1162" i="4"/>
  <c r="D1161" i="4"/>
  <c r="G1162" i="4" l="1"/>
  <c r="H1162" i="4"/>
  <c r="I1162" i="4"/>
  <c r="J1162" i="4"/>
  <c r="J1164" i="4"/>
  <c r="H1164" i="4"/>
  <c r="I1164" i="4"/>
  <c r="G1164" i="4"/>
  <c r="D1165" i="4"/>
  <c r="G1161" i="4"/>
  <c r="H1161" i="4"/>
  <c r="I1161" i="4"/>
  <c r="J1161" i="4"/>
  <c r="G1163" i="4"/>
  <c r="H1163" i="4"/>
  <c r="I1163" i="4"/>
  <c r="J1163" i="4"/>
  <c r="G1165" i="4" l="1"/>
  <c r="I1165" i="4"/>
  <c r="J1165" i="4"/>
  <c r="D1166" i="4"/>
  <c r="H1165" i="4"/>
  <c r="G1166" i="4" l="1"/>
  <c r="H1166" i="4"/>
  <c r="I1166" i="4"/>
  <c r="J1166" i="4"/>
  <c r="D1167" i="4"/>
  <c r="G1167" i="4" l="1"/>
  <c r="D1170" i="4"/>
  <c r="H1167" i="4"/>
  <c r="I1167" i="4"/>
  <c r="J1167" i="4"/>
  <c r="D1168" i="4"/>
  <c r="D1169" i="4"/>
  <c r="J1168" i="4" l="1"/>
  <c r="G1168" i="4"/>
  <c r="H1168" i="4"/>
  <c r="I1168" i="4"/>
  <c r="I1170" i="4"/>
  <c r="J1170" i="4"/>
  <c r="G1170" i="4"/>
  <c r="H1170" i="4"/>
  <c r="D1171" i="4"/>
  <c r="G1169" i="4"/>
  <c r="H1169" i="4"/>
  <c r="I1169" i="4"/>
  <c r="J1169" i="4"/>
  <c r="H1171" i="4" l="1"/>
  <c r="I1171" i="4"/>
  <c r="J1171" i="4"/>
  <c r="G1171" i="4"/>
  <c r="D1172" i="4"/>
  <c r="J1172" i="4" l="1"/>
  <c r="G1172" i="4"/>
  <c r="H1172" i="4"/>
  <c r="I1172" i="4"/>
  <c r="D1173" i="4"/>
  <c r="G1173" i="4" l="1"/>
  <c r="D1176" i="4"/>
  <c r="J1173" i="4"/>
  <c r="H1173" i="4"/>
  <c r="I1173" i="4"/>
  <c r="D1175" i="4"/>
  <c r="D1174" i="4"/>
  <c r="D1177" i="4"/>
  <c r="G1174" i="4" l="1"/>
  <c r="H1174" i="4"/>
  <c r="I1174" i="4"/>
  <c r="J1174" i="4"/>
  <c r="G1177" i="4"/>
  <c r="H1177" i="4"/>
  <c r="J1177" i="4"/>
  <c r="I1177" i="4"/>
  <c r="D1178" i="4"/>
  <c r="J1176" i="4"/>
  <c r="G1176" i="4"/>
  <c r="H1176" i="4"/>
  <c r="I1176" i="4"/>
  <c r="G1175" i="4"/>
  <c r="J1175" i="4"/>
  <c r="H1175" i="4"/>
  <c r="I1175" i="4"/>
  <c r="G1178" i="4" l="1"/>
  <c r="I1178" i="4"/>
  <c r="J1178" i="4"/>
  <c r="H1178" i="4"/>
  <c r="D1179" i="4"/>
  <c r="D1180" i="4" l="1"/>
  <c r="H1179" i="4"/>
  <c r="I1179" i="4"/>
  <c r="G1179" i="4"/>
  <c r="J1179" i="4"/>
  <c r="J1180" i="4" l="1"/>
  <c r="I1180" i="4"/>
  <c r="G1180" i="4"/>
  <c r="H1180" i="4"/>
  <c r="D1181" i="4"/>
  <c r="G1181" i="4" l="1"/>
  <c r="H1181" i="4"/>
  <c r="I1181" i="4"/>
  <c r="J1181" i="4"/>
  <c r="D1185" i="4"/>
  <c r="D1183" i="4"/>
  <c r="D1182" i="4"/>
  <c r="D1184" i="4"/>
  <c r="G1182" i="4" l="1"/>
  <c r="I1182" i="4"/>
  <c r="J1182" i="4"/>
  <c r="H1182" i="4"/>
  <c r="J1184" i="4"/>
  <c r="H1184" i="4"/>
  <c r="G1184" i="4"/>
  <c r="I1184" i="4"/>
  <c r="H1183" i="4"/>
  <c r="G1183" i="4"/>
  <c r="I1183" i="4"/>
  <c r="J1183" i="4"/>
  <c r="G1185" i="4"/>
  <c r="J1185" i="4"/>
  <c r="D1186" i="4"/>
  <c r="I1185" i="4"/>
  <c r="H1185" i="4"/>
  <c r="G1186" i="4" l="1"/>
  <c r="J1186" i="4"/>
  <c r="D1187" i="4"/>
  <c r="H1186" i="4"/>
  <c r="I1186" i="4"/>
  <c r="G1187" i="4" l="1"/>
  <c r="H1187" i="4"/>
  <c r="I1187" i="4"/>
  <c r="D1188" i="4"/>
  <c r="J1187" i="4"/>
  <c r="J1188" i="4" l="1"/>
  <c r="G1188" i="4"/>
  <c r="H1188" i="4"/>
  <c r="I1188" i="4"/>
  <c r="D1190" i="4"/>
  <c r="D1191" i="4"/>
  <c r="D1189" i="4"/>
  <c r="G1189" i="4" l="1"/>
  <c r="H1189" i="4"/>
  <c r="I1189" i="4"/>
  <c r="J1189" i="4"/>
  <c r="G1191" i="4"/>
  <c r="H1191" i="4"/>
  <c r="J1191" i="4"/>
  <c r="I1191" i="4"/>
  <c r="D1192" i="4"/>
  <c r="G1190" i="4"/>
  <c r="H1190" i="4"/>
  <c r="I1190" i="4"/>
  <c r="J1190" i="4"/>
  <c r="J1192" i="4" l="1"/>
  <c r="I1192" i="4"/>
  <c r="G1192" i="4"/>
  <c r="H1192" i="4"/>
  <c r="D1193" i="4"/>
  <c r="G1193" i="4" l="1"/>
  <c r="H1193" i="4"/>
  <c r="I1193" i="4"/>
  <c r="J1193" i="4"/>
  <c r="D1194" i="4"/>
  <c r="G1194" i="4" l="1"/>
  <c r="H1194" i="4"/>
  <c r="I1194" i="4"/>
  <c r="J1194" i="4"/>
  <c r="D1195" i="4"/>
  <c r="G1195" i="4" l="1"/>
  <c r="H1195" i="4"/>
  <c r="I1195" i="4"/>
  <c r="J1195" i="4"/>
  <c r="D1197" i="4"/>
  <c r="D1198" i="4"/>
  <c r="D1196" i="4"/>
  <c r="J1196" i="4" l="1"/>
  <c r="G1196" i="4"/>
  <c r="H1196" i="4"/>
  <c r="I1196" i="4"/>
  <c r="J1198" i="4"/>
  <c r="D1199" i="4"/>
  <c r="I1198" i="4"/>
  <c r="G1198" i="4"/>
  <c r="H1198" i="4"/>
  <c r="G1197" i="4"/>
  <c r="H1197" i="4"/>
  <c r="J1197" i="4"/>
  <c r="I1197" i="4"/>
  <c r="H1199" i="4" l="1"/>
  <c r="I1199" i="4"/>
  <c r="J1199" i="4"/>
  <c r="G1199" i="4"/>
  <c r="D1200" i="4"/>
  <c r="J1200" i="4" l="1"/>
  <c r="G1200" i="4"/>
  <c r="I1200" i="4"/>
  <c r="H1200" i="4"/>
  <c r="D1201" i="4"/>
  <c r="G1201" i="4" l="1"/>
  <c r="I1201" i="4"/>
  <c r="J1201" i="4"/>
  <c r="D1202" i="4"/>
  <c r="H1201" i="4"/>
  <c r="I1202" i="4" l="1"/>
  <c r="G1202" i="4"/>
  <c r="H1202" i="4"/>
  <c r="J1202" i="4"/>
  <c r="D1204" i="4"/>
  <c r="D1203" i="4"/>
  <c r="D1205" i="4"/>
  <c r="G1205" i="4" l="1"/>
  <c r="H1205" i="4"/>
  <c r="I1205" i="4"/>
  <c r="J1205" i="4"/>
  <c r="D1206" i="4"/>
  <c r="J1204" i="4"/>
  <c r="G1204" i="4"/>
  <c r="H1204" i="4"/>
  <c r="I1204" i="4"/>
  <c r="G1203" i="4"/>
  <c r="H1203" i="4"/>
  <c r="I1203" i="4"/>
  <c r="J1203" i="4"/>
  <c r="H1206" i="4" l="1"/>
  <c r="G1206" i="4"/>
  <c r="J1206" i="4"/>
  <c r="D1207" i="4"/>
  <c r="I1206" i="4"/>
  <c r="I1207" i="4" l="1"/>
  <c r="D1208" i="4"/>
  <c r="H1207" i="4"/>
  <c r="J1207" i="4"/>
  <c r="G1207" i="4"/>
  <c r="J1208" i="4" l="1"/>
  <c r="I1208" i="4"/>
  <c r="G1208" i="4"/>
  <c r="H1208" i="4"/>
  <c r="D1209" i="4"/>
  <c r="G1209" i="4" l="1"/>
  <c r="H1209" i="4"/>
  <c r="I1209" i="4"/>
  <c r="J1209" i="4"/>
  <c r="D1212" i="4"/>
  <c r="D1211" i="4"/>
  <c r="D1210" i="4"/>
  <c r="J1212" i="4" l="1"/>
  <c r="I1212" i="4"/>
  <c r="G1212" i="4"/>
  <c r="H1212" i="4"/>
  <c r="D1213" i="4"/>
  <c r="H1210" i="4"/>
  <c r="I1210" i="4"/>
  <c r="J1210" i="4"/>
  <c r="G1210" i="4"/>
  <c r="G1211" i="4"/>
  <c r="H1211" i="4"/>
  <c r="I1211" i="4"/>
  <c r="J1211" i="4"/>
  <c r="G1213" i="4" l="1"/>
  <c r="J1213" i="4"/>
  <c r="D1214" i="4"/>
  <c r="H1213" i="4"/>
  <c r="I1213" i="4"/>
  <c r="H1214" i="4" l="1"/>
  <c r="I1214" i="4"/>
  <c r="G1214" i="4"/>
  <c r="J1214" i="4"/>
  <c r="D1215" i="4"/>
  <c r="J1215" i="4" l="1"/>
  <c r="D1216" i="4"/>
  <c r="H1215" i="4"/>
  <c r="I1215" i="4"/>
  <c r="G1215" i="4"/>
  <c r="J1216" i="4" l="1"/>
  <c r="D1218" i="4"/>
  <c r="I1216" i="4"/>
  <c r="G1216" i="4"/>
  <c r="H1216" i="4"/>
  <c r="D1219" i="4"/>
  <c r="D1217" i="4"/>
  <c r="G1218" i="4" l="1"/>
  <c r="H1218" i="4"/>
  <c r="J1218" i="4"/>
  <c r="I1218" i="4"/>
  <c r="G1217" i="4"/>
  <c r="H1217" i="4"/>
  <c r="I1217" i="4"/>
  <c r="J1217" i="4"/>
  <c r="J1219" i="4"/>
  <c r="G1219" i="4"/>
  <c r="H1219" i="4"/>
  <c r="I1219" i="4"/>
  <c r="D1220" i="4"/>
  <c r="J1220" i="4" l="1"/>
  <c r="G1220" i="4"/>
  <c r="H1220" i="4"/>
  <c r="I1220" i="4"/>
  <c r="D1221" i="4"/>
  <c r="G1221" i="4" l="1"/>
  <c r="H1221" i="4"/>
  <c r="I1221" i="4"/>
  <c r="D1222" i="4"/>
  <c r="J1221" i="4"/>
  <c r="G1222" i="4" l="1"/>
  <c r="H1222" i="4"/>
  <c r="I1222" i="4"/>
  <c r="J1222" i="4"/>
  <c r="D1223" i="4"/>
  <c r="D1226" i="4"/>
  <c r="D1224" i="4"/>
  <c r="D1225" i="4"/>
  <c r="H1226" i="4" l="1"/>
  <c r="I1226" i="4"/>
  <c r="J1226" i="4"/>
  <c r="G1226" i="4"/>
  <c r="D1227" i="4"/>
  <c r="H1225" i="4"/>
  <c r="I1225" i="4"/>
  <c r="J1225" i="4"/>
  <c r="G1225" i="4"/>
  <c r="G1223" i="4"/>
  <c r="H1223" i="4"/>
  <c r="I1223" i="4"/>
  <c r="J1223" i="4"/>
  <c r="J1224" i="4"/>
  <c r="G1224" i="4"/>
  <c r="H1224" i="4"/>
  <c r="I1224" i="4"/>
  <c r="G1227" i="4" l="1"/>
  <c r="I1227" i="4"/>
  <c r="J1227" i="4"/>
  <c r="H1227" i="4"/>
  <c r="D1228" i="4"/>
  <c r="J1228" i="4" l="1"/>
  <c r="H1228" i="4"/>
  <c r="I1228" i="4"/>
  <c r="G1228" i="4"/>
  <c r="D1229" i="4"/>
  <c r="G1229" i="4" l="1"/>
  <c r="H1229" i="4"/>
  <c r="I1229" i="4"/>
  <c r="J1229" i="4"/>
  <c r="D1230" i="4"/>
  <c r="I1230" i="4" l="1"/>
  <c r="J1230" i="4"/>
  <c r="G1230" i="4"/>
  <c r="H1230" i="4"/>
  <c r="D1233" i="4"/>
  <c r="D1232" i="4"/>
  <c r="D1231" i="4"/>
  <c r="J1232" i="4" l="1"/>
  <c r="H1232" i="4"/>
  <c r="I1232" i="4"/>
  <c r="G1232" i="4"/>
  <c r="G1233" i="4"/>
  <c r="H1233" i="4"/>
  <c r="I1233" i="4"/>
  <c r="J1233" i="4"/>
  <c r="D1234" i="4"/>
  <c r="H1231" i="4"/>
  <c r="I1231" i="4"/>
  <c r="J1231" i="4"/>
  <c r="G1231" i="4"/>
  <c r="J1234" i="4" l="1"/>
  <c r="D1235" i="4"/>
  <c r="G1234" i="4"/>
  <c r="H1234" i="4"/>
  <c r="I1234" i="4"/>
  <c r="G1235" i="4" l="1"/>
  <c r="H1235" i="4"/>
  <c r="I1235" i="4"/>
  <c r="J1235" i="4"/>
  <c r="D1236" i="4"/>
  <c r="J1236" i="4" l="1"/>
  <c r="I1236" i="4"/>
  <c r="G1236" i="4"/>
  <c r="H1236" i="4"/>
  <c r="D1237" i="4"/>
  <c r="G1237" i="4" l="1"/>
  <c r="H1237" i="4"/>
  <c r="D1240" i="4"/>
  <c r="I1237" i="4"/>
  <c r="J1237" i="4"/>
  <c r="D1238" i="4"/>
  <c r="D1239" i="4"/>
  <c r="J1238" i="4" l="1"/>
  <c r="G1238" i="4"/>
  <c r="H1238" i="4"/>
  <c r="I1238" i="4"/>
  <c r="J1240" i="4"/>
  <c r="G1240" i="4"/>
  <c r="H1240" i="4"/>
  <c r="I1240" i="4"/>
  <c r="D1241" i="4"/>
  <c r="G1239" i="4"/>
  <c r="J1239" i="4"/>
  <c r="H1239" i="4"/>
  <c r="I1239" i="4"/>
  <c r="G1241" i="4" l="1"/>
  <c r="H1241" i="4"/>
  <c r="I1241" i="4"/>
  <c r="J1241" i="4"/>
  <c r="D1242" i="4"/>
  <c r="H1242" i="4" l="1"/>
  <c r="I1242" i="4"/>
  <c r="J1242" i="4"/>
  <c r="D1243" i="4"/>
  <c r="G1242" i="4"/>
  <c r="G1243" i="4" l="1"/>
  <c r="H1243" i="4"/>
  <c r="I1243" i="4"/>
  <c r="J1243" i="4"/>
  <c r="D1244" i="4"/>
  <c r="J1244" i="4" l="1"/>
  <c r="D1247" i="4"/>
  <c r="H1244" i="4"/>
  <c r="G1244" i="4"/>
  <c r="I1244" i="4"/>
  <c r="D1246" i="4"/>
  <c r="D1245" i="4"/>
  <c r="J1245" i="4" l="1"/>
  <c r="I1245" i="4"/>
  <c r="G1245" i="4"/>
  <c r="H1245" i="4"/>
  <c r="G1247" i="4"/>
  <c r="H1247" i="4"/>
  <c r="I1247" i="4"/>
  <c r="J1247" i="4"/>
  <c r="D1248" i="4"/>
  <c r="G1246" i="4"/>
  <c r="J1246" i="4"/>
  <c r="H1246" i="4"/>
  <c r="I1246" i="4"/>
  <c r="J1248" i="4" l="1"/>
  <c r="G1248" i="4"/>
  <c r="H1248" i="4"/>
  <c r="I1248" i="4"/>
  <c r="D1249" i="4"/>
  <c r="H1249" i="4" l="1"/>
  <c r="I1249" i="4"/>
  <c r="G1249" i="4"/>
  <c r="J1249" i="4"/>
  <c r="D1250" i="4"/>
  <c r="H1250" i="4" l="1"/>
  <c r="I1250" i="4"/>
  <c r="J1250" i="4"/>
  <c r="G1250" i="4"/>
  <c r="D1252" i="4"/>
  <c r="D1251" i="4"/>
  <c r="D1253" i="4"/>
  <c r="D1254" i="4"/>
  <c r="G1253" i="4" l="1"/>
  <c r="H1253" i="4"/>
  <c r="I1253" i="4"/>
  <c r="J1253" i="4"/>
  <c r="G1254" i="4"/>
  <c r="H1254" i="4"/>
  <c r="I1254" i="4"/>
  <c r="J1254" i="4"/>
  <c r="D1255" i="4"/>
  <c r="G1251" i="4"/>
  <c r="H1251" i="4"/>
  <c r="I1251" i="4"/>
  <c r="J1251" i="4"/>
  <c r="J1252" i="4"/>
  <c r="H1252" i="4"/>
  <c r="I1252" i="4"/>
  <c r="G1252" i="4"/>
  <c r="H1255" i="4" l="1"/>
  <c r="I1255" i="4"/>
  <c r="J1255" i="4"/>
  <c r="G1255" i="4"/>
  <c r="D1256" i="4"/>
  <c r="J1256" i="4" l="1"/>
  <c r="G1256" i="4"/>
  <c r="I1256" i="4"/>
  <c r="H1256" i="4"/>
  <c r="D1257" i="4"/>
  <c r="I1257" i="4" l="1"/>
  <c r="J1257" i="4"/>
  <c r="D1258" i="4"/>
  <c r="H1257" i="4"/>
  <c r="G1257" i="4"/>
  <c r="G1258" i="4" l="1"/>
  <c r="H1258" i="4"/>
  <c r="I1258" i="4"/>
  <c r="J1258" i="4"/>
  <c r="D1261" i="4"/>
  <c r="D1260" i="4"/>
  <c r="D1259" i="4"/>
  <c r="J1260" i="4" l="1"/>
  <c r="H1260" i="4"/>
  <c r="G1260" i="4"/>
  <c r="I1260" i="4"/>
  <c r="I1259" i="4"/>
  <c r="J1259" i="4"/>
  <c r="H1259" i="4"/>
  <c r="G1259" i="4"/>
  <c r="G1261" i="4"/>
  <c r="J1261" i="4"/>
  <c r="H1261" i="4"/>
  <c r="I1261" i="4"/>
  <c r="D1262" i="4"/>
  <c r="I1262" i="4" l="1"/>
  <c r="H1262" i="4"/>
  <c r="J1262" i="4"/>
  <c r="D1263" i="4"/>
  <c r="G1262" i="4"/>
  <c r="J1263" i="4" l="1"/>
  <c r="D1264" i="4"/>
  <c r="I1263" i="4"/>
  <c r="G1263" i="4"/>
  <c r="H1263" i="4"/>
  <c r="J1264" i="4" l="1"/>
  <c r="G1264" i="4"/>
  <c r="H1264" i="4"/>
  <c r="I1264" i="4"/>
  <c r="D1265" i="4"/>
  <c r="H1265" i="4" l="1"/>
  <c r="I1265" i="4"/>
  <c r="J1265" i="4"/>
  <c r="D1267" i="4"/>
  <c r="G1265" i="4"/>
  <c r="D1268" i="4"/>
  <c r="D1266" i="4"/>
  <c r="G1266" i="4" l="1"/>
  <c r="H1266" i="4"/>
  <c r="J1266" i="4"/>
  <c r="I1266" i="4"/>
  <c r="J1268" i="4"/>
  <c r="G1268" i="4"/>
  <c r="H1268" i="4"/>
  <c r="I1268" i="4"/>
  <c r="D1269" i="4"/>
  <c r="H1267" i="4"/>
  <c r="I1267" i="4"/>
  <c r="G1267" i="4"/>
  <c r="J1267" i="4"/>
  <c r="J1269" i="4" l="1"/>
  <c r="I1269" i="4"/>
  <c r="D1270" i="4"/>
  <c r="G1269" i="4"/>
  <c r="H1269" i="4"/>
  <c r="G1270" i="4" l="1"/>
  <c r="H1270" i="4"/>
  <c r="I1270" i="4"/>
  <c r="J1270" i="4"/>
  <c r="D1271" i="4"/>
  <c r="G1271" i="4" l="1"/>
  <c r="J1271" i="4"/>
  <c r="D1272" i="4"/>
  <c r="I1271" i="4"/>
  <c r="H1271" i="4"/>
  <c r="J1272" i="4" l="1"/>
  <c r="G1272" i="4"/>
  <c r="H1272" i="4"/>
  <c r="I1272" i="4"/>
  <c r="D1273" i="4"/>
  <c r="D1275" i="4"/>
  <c r="D1274" i="4"/>
  <c r="G1274" i="4" l="1"/>
  <c r="H1274" i="4"/>
  <c r="I1274" i="4"/>
  <c r="J1274" i="4"/>
  <c r="G1275" i="4"/>
  <c r="J1275" i="4"/>
  <c r="D1276" i="4"/>
  <c r="H1275" i="4"/>
  <c r="I1275" i="4"/>
  <c r="G1273" i="4"/>
  <c r="H1273" i="4"/>
  <c r="I1273" i="4"/>
  <c r="J1273" i="4"/>
  <c r="J1276" i="4" l="1"/>
  <c r="G1276" i="4"/>
  <c r="H1276" i="4"/>
  <c r="I1276" i="4"/>
  <c r="D1277" i="4"/>
  <c r="G1277" i="4" l="1"/>
  <c r="J1277" i="4"/>
  <c r="H1277" i="4"/>
  <c r="I1277" i="4"/>
  <c r="D1278" i="4"/>
  <c r="J1278" i="4" l="1"/>
  <c r="G1278" i="4"/>
  <c r="H1278" i="4"/>
  <c r="I1278" i="4"/>
  <c r="D1279" i="4"/>
  <c r="I1279" i="4" l="1"/>
  <c r="J1279" i="4"/>
  <c r="H1279" i="4"/>
  <c r="G1279" i="4"/>
  <c r="D1280" i="4"/>
  <c r="D1281" i="4"/>
  <c r="D1282" i="4"/>
  <c r="G1282" i="4" l="1"/>
  <c r="H1282" i="4"/>
  <c r="I1282" i="4"/>
  <c r="J1282" i="4"/>
  <c r="D1283" i="4"/>
  <c r="G1281" i="4"/>
  <c r="H1281" i="4"/>
  <c r="I1281" i="4"/>
  <c r="J1281" i="4"/>
  <c r="J1280" i="4"/>
  <c r="G1280" i="4"/>
  <c r="H1280" i="4"/>
  <c r="I1280" i="4"/>
  <c r="I1283" i="4" l="1"/>
  <c r="G1283" i="4"/>
  <c r="D1284" i="4"/>
  <c r="J1283" i="4"/>
  <c r="H1283" i="4"/>
  <c r="J1284" i="4" l="1"/>
  <c r="H1284" i="4"/>
  <c r="I1284" i="4"/>
  <c r="G1284" i="4"/>
  <c r="D1285" i="4"/>
  <c r="G1285" i="4" l="1"/>
  <c r="H1285" i="4"/>
  <c r="I1285" i="4"/>
  <c r="J1285" i="4"/>
  <c r="D1286" i="4"/>
  <c r="D1289" i="4" l="1"/>
  <c r="G1286" i="4"/>
  <c r="H1286" i="4"/>
  <c r="J1286" i="4"/>
  <c r="I1286" i="4"/>
  <c r="D1287" i="4"/>
  <c r="D1288" i="4"/>
  <c r="J1288" i="4" l="1"/>
  <c r="I1288" i="4"/>
  <c r="G1288" i="4"/>
  <c r="H1288" i="4"/>
  <c r="G1287" i="4"/>
  <c r="H1287" i="4"/>
  <c r="I1287" i="4"/>
  <c r="J1287" i="4"/>
  <c r="H1289" i="4"/>
  <c r="I1289" i="4"/>
  <c r="J1289" i="4"/>
  <c r="G1289" i="4"/>
  <c r="D1290" i="4"/>
  <c r="G1290" i="4" l="1"/>
  <c r="J1290" i="4"/>
  <c r="H1290" i="4"/>
  <c r="I1290" i="4"/>
  <c r="D1291" i="4"/>
  <c r="J1291" i="4" l="1"/>
  <c r="G1291" i="4"/>
  <c r="H1291" i="4"/>
  <c r="I1291" i="4"/>
  <c r="D1292" i="4"/>
  <c r="J1292" i="4" l="1"/>
  <c r="I1292" i="4"/>
  <c r="G1292" i="4"/>
  <c r="H1292" i="4"/>
  <c r="D1293" i="4"/>
  <c r="G1293" i="4" l="1"/>
  <c r="H1293" i="4"/>
  <c r="I1293" i="4"/>
  <c r="J1293" i="4"/>
  <c r="D1296" i="4"/>
  <c r="D1294" i="4"/>
  <c r="D1295" i="4"/>
  <c r="I1294" i="4" l="1"/>
  <c r="J1294" i="4"/>
  <c r="G1294" i="4"/>
  <c r="H1294" i="4"/>
  <c r="J1296" i="4"/>
  <c r="D1297" i="4"/>
  <c r="I1296" i="4"/>
  <c r="G1296" i="4"/>
  <c r="H1296" i="4"/>
  <c r="H1295" i="4"/>
  <c r="I1295" i="4"/>
  <c r="J1295" i="4"/>
  <c r="G1295" i="4"/>
  <c r="G1297" i="4" l="1"/>
  <c r="H1297" i="4"/>
  <c r="J1297" i="4"/>
  <c r="I1297" i="4"/>
  <c r="D1298" i="4"/>
  <c r="G1298" i="4" l="1"/>
  <c r="H1298" i="4"/>
  <c r="I1298" i="4"/>
  <c r="J1298" i="4"/>
  <c r="D1299" i="4"/>
  <c r="G1299" i="4" l="1"/>
  <c r="H1299" i="4"/>
  <c r="I1299" i="4"/>
  <c r="J1299" i="4"/>
  <c r="D1300" i="4"/>
  <c r="J1300" i="4" l="1"/>
  <c r="G1300" i="4"/>
  <c r="H1300" i="4"/>
  <c r="I1300" i="4"/>
  <c r="D1301" i="4"/>
  <c r="D1302" i="4"/>
  <c r="D1303" i="4"/>
  <c r="H1303" i="4" l="1"/>
  <c r="G1303" i="4"/>
  <c r="I1303" i="4"/>
  <c r="J1303" i="4"/>
  <c r="D1304" i="4"/>
  <c r="I1302" i="4"/>
  <c r="H1302" i="4"/>
  <c r="G1302" i="4"/>
  <c r="J1302" i="4"/>
  <c r="G1301" i="4"/>
  <c r="H1301" i="4"/>
  <c r="I1301" i="4"/>
  <c r="J1301" i="4"/>
  <c r="J1304" i="4" l="1"/>
  <c r="G1304" i="4"/>
  <c r="H1304" i="4"/>
  <c r="I1304" i="4"/>
  <c r="D1305" i="4"/>
  <c r="G1305" i="4" l="1"/>
  <c r="H1305" i="4"/>
  <c r="I1305" i="4"/>
  <c r="J1305" i="4"/>
  <c r="D1306" i="4"/>
  <c r="G1306" i="4" l="1"/>
  <c r="H1306" i="4"/>
  <c r="I1306" i="4"/>
  <c r="J1306" i="4"/>
  <c r="D1307" i="4"/>
  <c r="G1307" i="4" l="1"/>
  <c r="D1309" i="4"/>
  <c r="H1307" i="4"/>
  <c r="D1308" i="4"/>
  <c r="I1307" i="4"/>
  <c r="J1307" i="4"/>
  <c r="D1310" i="4"/>
  <c r="H1310" i="4" l="1"/>
  <c r="I1310" i="4"/>
  <c r="J1310" i="4"/>
  <c r="G1310" i="4"/>
  <c r="D1311" i="4"/>
  <c r="H1309" i="4"/>
  <c r="I1309" i="4"/>
  <c r="J1309" i="4"/>
  <c r="G1309" i="4"/>
  <c r="J1308" i="4"/>
  <c r="G1308" i="4"/>
  <c r="H1308" i="4"/>
  <c r="I1308" i="4"/>
  <c r="G1311" i="4" l="1"/>
  <c r="H1311" i="4"/>
  <c r="I1311" i="4"/>
  <c r="J1311" i="4"/>
  <c r="D1312" i="4"/>
  <c r="J1312" i="4" l="1"/>
  <c r="G1312" i="4"/>
  <c r="H1312" i="4"/>
  <c r="I1312" i="4"/>
  <c r="D1313" i="4"/>
  <c r="I1313" i="4" l="1"/>
  <c r="J1313" i="4"/>
  <c r="G1313" i="4"/>
  <c r="H1313" i="4"/>
  <c r="D1314" i="4"/>
  <c r="H1314" i="4" l="1"/>
  <c r="I1314" i="4"/>
  <c r="J1314" i="4"/>
  <c r="G1314" i="4"/>
  <c r="D1317" i="4"/>
  <c r="D1316" i="4"/>
  <c r="D1315" i="4"/>
  <c r="G1315" i="4" l="1"/>
  <c r="H1315" i="4"/>
  <c r="I1315" i="4"/>
  <c r="J1315" i="4"/>
  <c r="J1316" i="4"/>
  <c r="I1316" i="4"/>
  <c r="G1316" i="4"/>
  <c r="H1316" i="4"/>
  <c r="J1317" i="4"/>
  <c r="D1318" i="4"/>
  <c r="G1317" i="4"/>
  <c r="H1317" i="4"/>
  <c r="I1317" i="4"/>
  <c r="G1318" i="4" l="1"/>
  <c r="H1318" i="4"/>
  <c r="I1318" i="4"/>
  <c r="J1318" i="4"/>
  <c r="D1319" i="4"/>
  <c r="G1319" i="4" l="1"/>
  <c r="H1319" i="4"/>
  <c r="I1319" i="4"/>
  <c r="D1320" i="4"/>
  <c r="J1319" i="4"/>
  <c r="J1320" i="4" l="1"/>
  <c r="H1320" i="4"/>
  <c r="G1320" i="4"/>
  <c r="I1320" i="4"/>
  <c r="D1321" i="4"/>
  <c r="H1321" i="4" l="1"/>
  <c r="I1321" i="4"/>
  <c r="D1323" i="4"/>
  <c r="G1321" i="4"/>
  <c r="J1321" i="4"/>
  <c r="D1324" i="4"/>
  <c r="D1322" i="4"/>
  <c r="J1324" i="4" l="1"/>
  <c r="G1324" i="4"/>
  <c r="H1324" i="4"/>
  <c r="I1324" i="4"/>
  <c r="D1325" i="4"/>
  <c r="G1322" i="4"/>
  <c r="H1322" i="4"/>
  <c r="I1322" i="4"/>
  <c r="J1322" i="4"/>
  <c r="G1323" i="4"/>
  <c r="H1323" i="4"/>
  <c r="I1323" i="4"/>
  <c r="J1323" i="4"/>
  <c r="G1325" i="4" l="1"/>
  <c r="D1326" i="4"/>
  <c r="J1325" i="4"/>
  <c r="H1325" i="4"/>
  <c r="I1325" i="4"/>
  <c r="G1326" i="4" l="1"/>
  <c r="H1326" i="4"/>
  <c r="J1326" i="4"/>
  <c r="D1327" i="4"/>
  <c r="I1326" i="4"/>
  <c r="G1327" i="4" l="1"/>
  <c r="I1327" i="4"/>
  <c r="H1327" i="4"/>
  <c r="J1327" i="4"/>
  <c r="D1328" i="4"/>
  <c r="J1328" i="4" l="1"/>
  <c r="H1328" i="4"/>
  <c r="I1328" i="4"/>
  <c r="G1328" i="4"/>
  <c r="D1330" i="4"/>
  <c r="D1329" i="4"/>
  <c r="D1331" i="4"/>
  <c r="G1331" i="4" l="1"/>
  <c r="J1331" i="4"/>
  <c r="I1331" i="4"/>
  <c r="H1331" i="4"/>
  <c r="D1332" i="4"/>
  <c r="G1329" i="4"/>
  <c r="H1329" i="4"/>
  <c r="I1329" i="4"/>
  <c r="J1329" i="4"/>
  <c r="G1330" i="4"/>
  <c r="H1330" i="4"/>
  <c r="I1330" i="4"/>
  <c r="J1330" i="4"/>
  <c r="J1332" i="4" l="1"/>
  <c r="I1332" i="4"/>
  <c r="G1332" i="4"/>
  <c r="H1332" i="4"/>
  <c r="D1333" i="4"/>
  <c r="G1333" i="4" l="1"/>
  <c r="H1333" i="4"/>
  <c r="I1333" i="4"/>
  <c r="J1333" i="4"/>
  <c r="D1334" i="4"/>
  <c r="G1334" i="4" l="1"/>
  <c r="H1334" i="4"/>
  <c r="I1334" i="4"/>
  <c r="J1334" i="4"/>
  <c r="D1335" i="4"/>
  <c r="J1335" i="4" l="1"/>
  <c r="G1335" i="4"/>
  <c r="H1335" i="4"/>
  <c r="I1335" i="4"/>
  <c r="D1338" i="4"/>
  <c r="D1339" i="4"/>
  <c r="D1337" i="4"/>
  <c r="D1336" i="4"/>
  <c r="I1337" i="4" l="1"/>
  <c r="J1337" i="4"/>
  <c r="H1337" i="4"/>
  <c r="G1337" i="4"/>
  <c r="D1340" i="4"/>
  <c r="H1339" i="4"/>
  <c r="G1339" i="4"/>
  <c r="I1339" i="4"/>
  <c r="J1339" i="4"/>
  <c r="J1336" i="4"/>
  <c r="H1336" i="4"/>
  <c r="G1336" i="4"/>
  <c r="I1336" i="4"/>
  <c r="H1338" i="4"/>
  <c r="I1338" i="4"/>
  <c r="J1338" i="4"/>
  <c r="G1338" i="4"/>
  <c r="J1340" i="4" l="1"/>
  <c r="H1340" i="4"/>
  <c r="G1340" i="4"/>
  <c r="I1340" i="4"/>
  <c r="D1341" i="4"/>
  <c r="G1341" i="4" l="1"/>
  <c r="J1341" i="4"/>
  <c r="H1341" i="4"/>
  <c r="I1341" i="4"/>
  <c r="D1342" i="4"/>
  <c r="I1342" i="4" l="1"/>
  <c r="J1342" i="4"/>
  <c r="H1342" i="4"/>
  <c r="G1342" i="4"/>
  <c r="D1343" i="4"/>
  <c r="D1344" i="4"/>
  <c r="D1345" i="4"/>
  <c r="J1344" i="4" l="1"/>
  <c r="H1344" i="4"/>
  <c r="G1344" i="4"/>
  <c r="I1344" i="4"/>
  <c r="G1345" i="4"/>
  <c r="J1345" i="4"/>
  <c r="H1345" i="4"/>
  <c r="I1345" i="4"/>
  <c r="D1346" i="4"/>
  <c r="I1343" i="4"/>
  <c r="J1343" i="4"/>
  <c r="G1343" i="4"/>
  <c r="H1343" i="4"/>
  <c r="J1346" i="4" l="1"/>
  <c r="D1347" i="4"/>
  <c r="G1346" i="4"/>
  <c r="H1346" i="4"/>
  <c r="I1346" i="4"/>
  <c r="I1347" i="4" l="1"/>
  <c r="J1347" i="4"/>
  <c r="G1347" i="4"/>
  <c r="H1347" i="4"/>
  <c r="D1348" i="4"/>
  <c r="G1348" i="4" l="1"/>
  <c r="H1348" i="4"/>
  <c r="I1348" i="4"/>
  <c r="J1348" i="4"/>
  <c r="D1349" i="4"/>
  <c r="D1351" i="4" l="1"/>
  <c r="J1349" i="4"/>
  <c r="G1349" i="4"/>
  <c r="H1349" i="4"/>
  <c r="I1349" i="4"/>
  <c r="D1352" i="4"/>
  <c r="D1350" i="4"/>
  <c r="J1350" i="4" l="1"/>
  <c r="G1350" i="4"/>
  <c r="I1350" i="4"/>
  <c r="H1350" i="4"/>
  <c r="G1352" i="4"/>
  <c r="J1352" i="4"/>
  <c r="H1352" i="4"/>
  <c r="I1352" i="4"/>
  <c r="D1353" i="4"/>
  <c r="G1351" i="4"/>
  <c r="H1351" i="4"/>
  <c r="I1351" i="4"/>
  <c r="J1351" i="4"/>
  <c r="G1353" i="4" l="1"/>
  <c r="H1353" i="4"/>
  <c r="D1354" i="4"/>
  <c r="J1353" i="4"/>
  <c r="I1353" i="4"/>
  <c r="J1354" i="4" l="1"/>
  <c r="D1355" i="4"/>
  <c r="G1354" i="4"/>
  <c r="H1354" i="4"/>
  <c r="I1354" i="4"/>
  <c r="I1355" i="4" l="1"/>
  <c r="J1355" i="4"/>
  <c r="D1356" i="4"/>
  <c r="G1355" i="4"/>
  <c r="H1355" i="4"/>
  <c r="D1359" i="4" l="1"/>
  <c r="G1356" i="4"/>
  <c r="H1356" i="4"/>
  <c r="I1356" i="4"/>
  <c r="J1356" i="4"/>
  <c r="D1358" i="4"/>
  <c r="D1357" i="4"/>
  <c r="G1357" i="4" l="1"/>
  <c r="H1357" i="4"/>
  <c r="I1357" i="4"/>
  <c r="J1357" i="4"/>
  <c r="J1358" i="4"/>
  <c r="I1358" i="4"/>
  <c r="H1358" i="4"/>
  <c r="G1358" i="4"/>
  <c r="J1359" i="4"/>
  <c r="G1359" i="4"/>
  <c r="H1359" i="4"/>
  <c r="I1359" i="4"/>
  <c r="D1360" i="4"/>
  <c r="G1360" i="4" l="1"/>
  <c r="I1360" i="4"/>
  <c r="H1360" i="4"/>
  <c r="J1360" i="4"/>
  <c r="D1361" i="4"/>
  <c r="G1361" i="4" l="1"/>
  <c r="H1361" i="4"/>
  <c r="I1361" i="4"/>
  <c r="J1361" i="4"/>
  <c r="D1362" i="4"/>
  <c r="J1362" i="4" l="1"/>
  <c r="D1363" i="4"/>
  <c r="G1362" i="4"/>
  <c r="H1362" i="4"/>
  <c r="I1362" i="4"/>
  <c r="H1363" i="4" l="1"/>
  <c r="J1363" i="4"/>
  <c r="I1363" i="4"/>
  <c r="G1363" i="4"/>
  <c r="D1365" i="4"/>
  <c r="D1364" i="4"/>
  <c r="D1366" i="4"/>
  <c r="J1364" i="4" l="1"/>
  <c r="I1364" i="4"/>
  <c r="G1364" i="4"/>
  <c r="H1364" i="4"/>
  <c r="J1366" i="4"/>
  <c r="D1367" i="4"/>
  <c r="H1366" i="4"/>
  <c r="I1366" i="4"/>
  <c r="G1366" i="4"/>
  <c r="G1365" i="4"/>
  <c r="J1365" i="4"/>
  <c r="H1365" i="4"/>
  <c r="I1365" i="4"/>
  <c r="G1367" i="4" l="1"/>
  <c r="H1367" i="4"/>
  <c r="I1367" i="4"/>
  <c r="J1367" i="4"/>
  <c r="D1369" i="4"/>
  <c r="D1368" i="4"/>
  <c r="J1369" i="4" l="1"/>
  <c r="G1369" i="4"/>
  <c r="I1369" i="4"/>
  <c r="H1369" i="4"/>
  <c r="D1370" i="4"/>
  <c r="G1368" i="4"/>
  <c r="J1368" i="4"/>
  <c r="H1368" i="4"/>
  <c r="I1368" i="4"/>
  <c r="J1370" i="4" l="1"/>
  <c r="D1371" i="4"/>
  <c r="G1370" i="4"/>
  <c r="H1370" i="4"/>
  <c r="I1370" i="4"/>
  <c r="D1373" i="4"/>
  <c r="D1372" i="4"/>
  <c r="G1372" i="4" l="1"/>
  <c r="H1372" i="4"/>
  <c r="I1372" i="4"/>
  <c r="J1372" i="4"/>
  <c r="H1371" i="4"/>
  <c r="I1371" i="4"/>
  <c r="J1371" i="4"/>
  <c r="G1371" i="4"/>
  <c r="G1373" i="4"/>
  <c r="H1373" i="4"/>
  <c r="I1373" i="4"/>
  <c r="J1373" i="4"/>
  <c r="D1374" i="4"/>
  <c r="J1374" i="4" l="1"/>
  <c r="D1375" i="4"/>
  <c r="G1374" i="4"/>
  <c r="H1374" i="4"/>
  <c r="I1374" i="4"/>
  <c r="G1375" i="4" l="1"/>
  <c r="H1375" i="4"/>
  <c r="J1375" i="4"/>
  <c r="D1376" i="4"/>
  <c r="I1375" i="4"/>
  <c r="J1376" i="4" l="1"/>
  <c r="G1376" i="4"/>
  <c r="H1376" i="4"/>
  <c r="I1376" i="4"/>
  <c r="D1377" i="4"/>
  <c r="H1377" i="4" l="1"/>
  <c r="I1377" i="4"/>
  <c r="J1377" i="4"/>
  <c r="G1377" i="4"/>
  <c r="D1380" i="4"/>
  <c r="D1379" i="4"/>
  <c r="D1378" i="4"/>
  <c r="J1378" i="4" l="1"/>
  <c r="G1378" i="4"/>
  <c r="H1378" i="4"/>
  <c r="I1378" i="4"/>
  <c r="I1380" i="4"/>
  <c r="J1380" i="4"/>
  <c r="D1381" i="4"/>
  <c r="G1380" i="4"/>
  <c r="H1380" i="4"/>
  <c r="G1379" i="4"/>
  <c r="H1379" i="4"/>
  <c r="I1379" i="4"/>
  <c r="J1379" i="4"/>
  <c r="I1381" i="4" l="1"/>
  <c r="J1381" i="4"/>
  <c r="H1381" i="4"/>
  <c r="G1381" i="4"/>
  <c r="D1382" i="4"/>
  <c r="J1382" i="4" l="1"/>
  <c r="H1382" i="4"/>
  <c r="I1382" i="4"/>
  <c r="G1382" i="4"/>
  <c r="D1383" i="4"/>
  <c r="G1383" i="4" l="1"/>
  <c r="H1383" i="4"/>
  <c r="I1383" i="4"/>
  <c r="J1383" i="4"/>
  <c r="D1384" i="4"/>
  <c r="G1384" i="4" l="1"/>
  <c r="J1384" i="4"/>
  <c r="H1384" i="4"/>
  <c r="I1384" i="4"/>
  <c r="D1385" i="4"/>
  <c r="D1386" i="4"/>
  <c r="D1387" i="4"/>
  <c r="J1386" i="4" l="1"/>
  <c r="G1386" i="4"/>
  <c r="H1386" i="4"/>
  <c r="I1386" i="4"/>
  <c r="G1387" i="4"/>
  <c r="H1387" i="4"/>
  <c r="I1387" i="4"/>
  <c r="J1387" i="4"/>
  <c r="D1388" i="4"/>
  <c r="I1385" i="4"/>
  <c r="G1385" i="4"/>
  <c r="H1385" i="4"/>
  <c r="J1385" i="4"/>
  <c r="G1388" i="4" l="1"/>
  <c r="H1388" i="4"/>
  <c r="I1388" i="4"/>
  <c r="J1388" i="4"/>
  <c r="D1389" i="4"/>
  <c r="I1389" i="4" l="1"/>
  <c r="J1389" i="4"/>
  <c r="D1390" i="4"/>
  <c r="G1389" i="4"/>
  <c r="H1389" i="4"/>
  <c r="J1390" i="4" l="1"/>
  <c r="G1390" i="4"/>
  <c r="I1390" i="4"/>
  <c r="H1390" i="4"/>
  <c r="D1391" i="4"/>
  <c r="D1394" i="4" l="1"/>
  <c r="G1391" i="4"/>
  <c r="H1391" i="4"/>
  <c r="J1391" i="4"/>
  <c r="I1391" i="4"/>
  <c r="D1392" i="4"/>
  <c r="D1393" i="4"/>
  <c r="G1393" i="4" l="1"/>
  <c r="H1393" i="4"/>
  <c r="I1393" i="4"/>
  <c r="J1393" i="4"/>
  <c r="I1392" i="4"/>
  <c r="J1392" i="4"/>
  <c r="G1392" i="4"/>
  <c r="H1392" i="4"/>
  <c r="J1394" i="4"/>
  <c r="H1394" i="4"/>
  <c r="G1394" i="4"/>
  <c r="I1394" i="4"/>
  <c r="D1395" i="4"/>
  <c r="D1396" i="4" l="1"/>
  <c r="G1395" i="4"/>
  <c r="H1395" i="4"/>
  <c r="I1395" i="4"/>
  <c r="J1395" i="4"/>
  <c r="H1396" i="4" l="1"/>
  <c r="I1396" i="4"/>
  <c r="J1396" i="4"/>
  <c r="G1396" i="4"/>
  <c r="D1397" i="4"/>
  <c r="J1397" i="4" l="1"/>
  <c r="H1397" i="4"/>
  <c r="I1397" i="4"/>
  <c r="G1397" i="4"/>
  <c r="D1398" i="4"/>
  <c r="J1398" i="4" l="1"/>
  <c r="G1398" i="4"/>
  <c r="H1398" i="4"/>
  <c r="I1398" i="4"/>
  <c r="D1401" i="4"/>
  <c r="D1400" i="4"/>
  <c r="D1399" i="4"/>
  <c r="G1399" i="4" l="1"/>
  <c r="H1399" i="4"/>
  <c r="I1399" i="4"/>
  <c r="J1399" i="4"/>
  <c r="J1400" i="4"/>
  <c r="G1400" i="4"/>
  <c r="H1400" i="4"/>
  <c r="I1400" i="4"/>
  <c r="I1401" i="4"/>
  <c r="J1401" i="4"/>
  <c r="G1401" i="4"/>
  <c r="H1401" i="4"/>
  <c r="D1402" i="4"/>
  <c r="J1402" i="4" l="1"/>
  <c r="G1402" i="4"/>
  <c r="H1402" i="4"/>
  <c r="I1402" i="4"/>
  <c r="D1403" i="4"/>
  <c r="J1403" i="4" l="1"/>
  <c r="G1403" i="4"/>
  <c r="H1403" i="4"/>
  <c r="I1403" i="4"/>
  <c r="D1404" i="4"/>
  <c r="G1404" i="4" l="1"/>
  <c r="H1404" i="4"/>
  <c r="I1404" i="4"/>
  <c r="J1404" i="4"/>
  <c r="D1405" i="4"/>
  <c r="I1405" i="4" l="1"/>
  <c r="J1405" i="4"/>
  <c r="D1406" i="4"/>
  <c r="D1408" i="4"/>
  <c r="G1405" i="4"/>
  <c r="H1405" i="4"/>
  <c r="D1407" i="4"/>
  <c r="G1407" i="4" l="1"/>
  <c r="I1407" i="4"/>
  <c r="H1407" i="4"/>
  <c r="J1407" i="4"/>
  <c r="J1406" i="4"/>
  <c r="I1406" i="4"/>
  <c r="G1406" i="4"/>
  <c r="H1406" i="4"/>
  <c r="G1408" i="4"/>
  <c r="H1408" i="4"/>
  <c r="I1408" i="4"/>
  <c r="J1408" i="4"/>
  <c r="D1409" i="4"/>
  <c r="G1409" i="4" l="1"/>
  <c r="H1409" i="4"/>
  <c r="I1409" i="4"/>
  <c r="J1409" i="4"/>
  <c r="D1410" i="4"/>
  <c r="J1410" i="4" l="1"/>
  <c r="D1411" i="4"/>
  <c r="I1410" i="4"/>
  <c r="G1410" i="4"/>
  <c r="H1410" i="4"/>
  <c r="I1411" i="4" l="1"/>
  <c r="G1411" i="4"/>
  <c r="H1411" i="4"/>
  <c r="J1411" i="4"/>
  <c r="D1412" i="4"/>
  <c r="I1412" i="4" l="1"/>
  <c r="G1412" i="4"/>
  <c r="H1412" i="4"/>
  <c r="J1412" i="4"/>
  <c r="D1415" i="4"/>
  <c r="D1414" i="4"/>
  <c r="D1413" i="4"/>
  <c r="G1413" i="4" l="1"/>
  <c r="J1413" i="4"/>
  <c r="I1413" i="4"/>
  <c r="H1413" i="4"/>
  <c r="J1414" i="4"/>
  <c r="G1414" i="4"/>
  <c r="H1414" i="4"/>
  <c r="I1414" i="4"/>
  <c r="I1415" i="4"/>
  <c r="H1415" i="4"/>
  <c r="J1415" i="4"/>
  <c r="G1415" i="4"/>
  <c r="D1416" i="4"/>
  <c r="I1416" i="4" l="1"/>
  <c r="J1416" i="4"/>
  <c r="G1416" i="4"/>
  <c r="H1416" i="4"/>
  <c r="D1417" i="4"/>
  <c r="H1417" i="4" l="1"/>
  <c r="I1417" i="4"/>
  <c r="J1417" i="4"/>
  <c r="G1417" i="4"/>
  <c r="D1418" i="4"/>
  <c r="J1418" i="4" l="1"/>
  <c r="G1418" i="4"/>
  <c r="H1418" i="4"/>
  <c r="I1418" i="4"/>
  <c r="D1419" i="4"/>
  <c r="G1419" i="4" l="1"/>
  <c r="H1419" i="4"/>
  <c r="I1419" i="4"/>
  <c r="J1419" i="4"/>
  <c r="D1422" i="4"/>
  <c r="D1421" i="4"/>
  <c r="D1420" i="4"/>
  <c r="J1422" i="4" l="1"/>
  <c r="G1422" i="4"/>
  <c r="H1422" i="4"/>
  <c r="I1422" i="4"/>
  <c r="D1423" i="4"/>
  <c r="H1421" i="4"/>
  <c r="I1421" i="4"/>
  <c r="J1421" i="4"/>
  <c r="G1421" i="4"/>
  <c r="G1420" i="4"/>
  <c r="J1420" i="4"/>
  <c r="H1420" i="4"/>
  <c r="I1420" i="4"/>
  <c r="G1423" i="4" l="1"/>
  <c r="D1424" i="4"/>
  <c r="H1423" i="4"/>
  <c r="I1423" i="4"/>
  <c r="J1423" i="4"/>
  <c r="G1424" i="4" l="1"/>
  <c r="H1424" i="4"/>
  <c r="I1424" i="4"/>
  <c r="J1424" i="4"/>
  <c r="D1425" i="4"/>
  <c r="J1425" i="4" l="1"/>
  <c r="I1425" i="4"/>
  <c r="G1425" i="4"/>
  <c r="H1425" i="4"/>
  <c r="D1426" i="4"/>
  <c r="J1426" i="4" l="1"/>
  <c r="H1426" i="4"/>
  <c r="I1426" i="4"/>
  <c r="D1427" i="4"/>
  <c r="G1426" i="4"/>
  <c r="D1429" i="4"/>
  <c r="D1428" i="4"/>
  <c r="G1429" i="4" l="1"/>
  <c r="H1429" i="4"/>
  <c r="I1429" i="4"/>
  <c r="J1429" i="4"/>
  <c r="D1430" i="4"/>
  <c r="H1428" i="4"/>
  <c r="I1428" i="4"/>
  <c r="J1428" i="4"/>
  <c r="G1428" i="4"/>
  <c r="H1427" i="4"/>
  <c r="G1427" i="4"/>
  <c r="J1427" i="4"/>
  <c r="I1427" i="4"/>
  <c r="J1430" i="4" l="1"/>
  <c r="I1430" i="4"/>
  <c r="G1430" i="4"/>
  <c r="H1430" i="4"/>
  <c r="D1431" i="4"/>
  <c r="G1431" i="4" l="1"/>
  <c r="H1431" i="4"/>
  <c r="I1431" i="4"/>
  <c r="J1431" i="4"/>
  <c r="D1432" i="4"/>
  <c r="G1432" i="4" l="1"/>
  <c r="I1432" i="4"/>
  <c r="H1432" i="4"/>
  <c r="J1432" i="4"/>
  <c r="D1433" i="4"/>
  <c r="I1433" i="4" l="1"/>
  <c r="J1433" i="4"/>
  <c r="G1433" i="4"/>
  <c r="H1433" i="4"/>
  <c r="D1435" i="4"/>
  <c r="D1434" i="4"/>
  <c r="D1436" i="4"/>
  <c r="D1437" i="4"/>
  <c r="I1435" i="4" l="1"/>
  <c r="J1435" i="4"/>
  <c r="G1435" i="4"/>
  <c r="H1435" i="4"/>
  <c r="G1436" i="4"/>
  <c r="H1436" i="4"/>
  <c r="I1436" i="4"/>
  <c r="J1436" i="4"/>
  <c r="G1437" i="4"/>
  <c r="I1437" i="4"/>
  <c r="J1437" i="4"/>
  <c r="D1438" i="4"/>
  <c r="H1437" i="4"/>
  <c r="J1434" i="4"/>
  <c r="G1434" i="4"/>
  <c r="H1434" i="4"/>
  <c r="I1434" i="4"/>
  <c r="J1438" i="4" l="1"/>
  <c r="I1438" i="4"/>
  <c r="G1438" i="4"/>
  <c r="H1438" i="4"/>
  <c r="D1439" i="4"/>
  <c r="G1439" i="4" l="1"/>
  <c r="H1439" i="4"/>
  <c r="I1439" i="4"/>
  <c r="J1439" i="4"/>
  <c r="D1440" i="4"/>
  <c r="G1440" i="4" l="1"/>
  <c r="H1440" i="4"/>
  <c r="I1440" i="4"/>
  <c r="J1440" i="4"/>
  <c r="D1443" i="4"/>
  <c r="D1442" i="4"/>
  <c r="D1441" i="4"/>
  <c r="H1441" i="4" l="1"/>
  <c r="I1441" i="4"/>
  <c r="J1441" i="4"/>
  <c r="G1441" i="4"/>
  <c r="J1442" i="4"/>
  <c r="H1442" i="4"/>
  <c r="I1442" i="4"/>
  <c r="G1442" i="4"/>
  <c r="G1443" i="4"/>
  <c r="H1443" i="4"/>
  <c r="I1443" i="4"/>
  <c r="J1443" i="4"/>
  <c r="D1444" i="4"/>
  <c r="G1444" i="4" l="1"/>
  <c r="H1444" i="4"/>
  <c r="I1444" i="4"/>
  <c r="J1444" i="4"/>
  <c r="D1445" i="4"/>
  <c r="G1445" i="4" l="1"/>
  <c r="H1445" i="4"/>
  <c r="I1445" i="4"/>
  <c r="J1445" i="4"/>
  <c r="D1446" i="4"/>
  <c r="J1446" i="4" l="1"/>
  <c r="G1446" i="4"/>
  <c r="H1446" i="4"/>
  <c r="I1446" i="4"/>
  <c r="D1447" i="4"/>
  <c r="H1447" i="4" l="1"/>
  <c r="D1449" i="4"/>
  <c r="G1447" i="4"/>
  <c r="J1447" i="4"/>
  <c r="I1447" i="4"/>
  <c r="D1450" i="4"/>
  <c r="D1448" i="4"/>
  <c r="J1448" i="4" l="1"/>
  <c r="G1448" i="4"/>
  <c r="H1448" i="4"/>
  <c r="I1448" i="4"/>
  <c r="J1450" i="4"/>
  <c r="G1450" i="4"/>
  <c r="H1450" i="4"/>
  <c r="I1450" i="4"/>
  <c r="D1451" i="4"/>
  <c r="H1449" i="4"/>
  <c r="I1449" i="4"/>
  <c r="J1449" i="4"/>
  <c r="G1449" i="4"/>
  <c r="J1451" i="4" l="1"/>
  <c r="D1452" i="4"/>
  <c r="G1451" i="4"/>
  <c r="H1451" i="4"/>
  <c r="I1451" i="4"/>
  <c r="G1452" i="4" l="1"/>
  <c r="D1453" i="4"/>
  <c r="H1452" i="4"/>
  <c r="I1452" i="4"/>
  <c r="J1452" i="4"/>
  <c r="G1453" i="4" l="1"/>
  <c r="H1453" i="4"/>
  <c r="I1453" i="4"/>
  <c r="D1454" i="4"/>
  <c r="J1453" i="4"/>
  <c r="J1454" i="4" l="1"/>
  <c r="G1454" i="4"/>
  <c r="H1454" i="4"/>
  <c r="I1454" i="4"/>
  <c r="D1455" i="4"/>
  <c r="D1457" i="4"/>
  <c r="D1456" i="4"/>
  <c r="I1456" i="4" l="1"/>
  <c r="J1456" i="4"/>
  <c r="H1456" i="4"/>
  <c r="G1456" i="4"/>
  <c r="I1457" i="4"/>
  <c r="J1457" i="4"/>
  <c r="H1457" i="4"/>
  <c r="G1457" i="4"/>
  <c r="D1458" i="4"/>
  <c r="G1455" i="4"/>
  <c r="H1455" i="4"/>
  <c r="I1455" i="4"/>
  <c r="J1455" i="4"/>
  <c r="J1458" i="4" l="1"/>
  <c r="D1459" i="4"/>
  <c r="D1462" i="4"/>
  <c r="G1458" i="4"/>
  <c r="H1458" i="4"/>
  <c r="I1458" i="4"/>
  <c r="D1464" i="4"/>
  <c r="D1461" i="4"/>
  <c r="D1463" i="4"/>
  <c r="D1460" i="4"/>
  <c r="I1461" i="4" l="1"/>
  <c r="J1461" i="4"/>
  <c r="G1461" i="4"/>
  <c r="H1461" i="4"/>
  <c r="G1460" i="4"/>
  <c r="H1460" i="4"/>
  <c r="I1460" i="4"/>
  <c r="J1460" i="4"/>
  <c r="H1463" i="4"/>
  <c r="I1463" i="4"/>
  <c r="J1463" i="4"/>
  <c r="G1463" i="4"/>
  <c r="I1464" i="4"/>
  <c r="H1464" i="4"/>
  <c r="J1464" i="4"/>
  <c r="G1464" i="4"/>
  <c r="D1465" i="4"/>
  <c r="J1462" i="4"/>
  <c r="G1462" i="4"/>
  <c r="H1462" i="4"/>
  <c r="I1462" i="4"/>
  <c r="I1459" i="4"/>
  <c r="J1459" i="4"/>
  <c r="G1459" i="4"/>
  <c r="H1459" i="4"/>
  <c r="G1465" i="4" l="1"/>
  <c r="H1465" i="4"/>
  <c r="I1465" i="4"/>
  <c r="D1466" i="4"/>
  <c r="J1465" i="4"/>
  <c r="J1466" i="4" l="1"/>
  <c r="H1466" i="4"/>
  <c r="I1466" i="4"/>
  <c r="D1467" i="4"/>
  <c r="G1466" i="4"/>
  <c r="J1467" i="4" l="1"/>
  <c r="G1467" i="4"/>
  <c r="H1467" i="4"/>
  <c r="I1467" i="4"/>
  <c r="D1468" i="4"/>
  <c r="D1471" i="4" l="1"/>
  <c r="I1468" i="4"/>
  <c r="G1468" i="4"/>
  <c r="J1468" i="4"/>
  <c r="H1468" i="4"/>
  <c r="D1469" i="4"/>
  <c r="D1470" i="4"/>
  <c r="H1469" i="4" l="1"/>
  <c r="I1469" i="4"/>
  <c r="J1469" i="4"/>
  <c r="G1469" i="4"/>
  <c r="J1470" i="4"/>
  <c r="G1470" i="4"/>
  <c r="H1470" i="4"/>
  <c r="I1470" i="4"/>
  <c r="G1471" i="4"/>
  <c r="H1471" i="4"/>
  <c r="I1471" i="4"/>
  <c r="J1471" i="4"/>
  <c r="D1472" i="4"/>
  <c r="I1472" i="4" l="1"/>
  <c r="G1472" i="4"/>
  <c r="J1472" i="4"/>
  <c r="H1472" i="4"/>
  <c r="D1473" i="4"/>
  <c r="I1473" i="4" l="1"/>
  <c r="G1473" i="4"/>
  <c r="H1473" i="4"/>
  <c r="J1473" i="4"/>
  <c r="D1474" i="4"/>
  <c r="J1474" i="4" l="1"/>
  <c r="G1474" i="4"/>
  <c r="H1474" i="4"/>
  <c r="I1474" i="4"/>
  <c r="D1475" i="4"/>
  <c r="H1475" i="4" l="1"/>
  <c r="J1475" i="4"/>
  <c r="G1475" i="4"/>
  <c r="I1475" i="4"/>
  <c r="D1477" i="4"/>
  <c r="D1478" i="4"/>
  <c r="D1476" i="4"/>
  <c r="G1476" i="4" l="1"/>
  <c r="H1476" i="4"/>
  <c r="I1476" i="4"/>
  <c r="J1476" i="4"/>
  <c r="J1478" i="4"/>
  <c r="I1478" i="4"/>
  <c r="D1479" i="4"/>
  <c r="G1478" i="4"/>
  <c r="H1478" i="4"/>
  <c r="H1477" i="4"/>
  <c r="G1477" i="4"/>
  <c r="I1477" i="4"/>
  <c r="J1477" i="4"/>
  <c r="G1479" i="4" l="1"/>
  <c r="H1479" i="4"/>
  <c r="I1479" i="4"/>
  <c r="J1479" i="4"/>
  <c r="D1480" i="4"/>
  <c r="G1480" i="4" l="1"/>
  <c r="H1480" i="4"/>
  <c r="I1480" i="4"/>
  <c r="J1480" i="4"/>
  <c r="D1481" i="4"/>
  <c r="J1481" i="4" l="1"/>
  <c r="G1481" i="4"/>
  <c r="H1481" i="4"/>
  <c r="I1481" i="4"/>
  <c r="D1482" i="4"/>
  <c r="J1482" i="4" l="1"/>
  <c r="G1482" i="4"/>
  <c r="D1484" i="4"/>
  <c r="I1482" i="4"/>
  <c r="D1483" i="4"/>
  <c r="H1482" i="4"/>
  <c r="D1485" i="4"/>
  <c r="G1485" i="4" l="1"/>
  <c r="H1485" i="4"/>
  <c r="I1485" i="4"/>
  <c r="J1485" i="4"/>
  <c r="D1486" i="4"/>
  <c r="I1483" i="4"/>
  <c r="J1483" i="4"/>
  <c r="G1483" i="4"/>
  <c r="H1483" i="4"/>
  <c r="G1484" i="4"/>
  <c r="H1484" i="4"/>
  <c r="J1484" i="4"/>
  <c r="I1484" i="4"/>
  <c r="J1486" i="4" l="1"/>
  <c r="H1486" i="4"/>
  <c r="I1486" i="4"/>
  <c r="G1486" i="4"/>
  <c r="D1487" i="4"/>
  <c r="G1487" i="4" l="1"/>
  <c r="H1487" i="4"/>
  <c r="I1487" i="4"/>
  <c r="J1487" i="4"/>
  <c r="D1488" i="4"/>
  <c r="I1488" i="4" l="1"/>
  <c r="J1488" i="4"/>
  <c r="G1488" i="4"/>
  <c r="D1489" i="4"/>
  <c r="H1488" i="4"/>
  <c r="G1489" i="4" l="1"/>
  <c r="H1489" i="4"/>
  <c r="I1489" i="4"/>
  <c r="J1489" i="4"/>
  <c r="D1492" i="4"/>
  <c r="D1490" i="4"/>
  <c r="D1491" i="4"/>
  <c r="J1490" i="4" l="1"/>
  <c r="G1490" i="4"/>
  <c r="I1490" i="4"/>
  <c r="H1490" i="4"/>
  <c r="G1491" i="4"/>
  <c r="H1491" i="4"/>
  <c r="I1491" i="4"/>
  <c r="J1491" i="4"/>
  <c r="J1492" i="4"/>
  <c r="G1492" i="4"/>
  <c r="H1492" i="4"/>
  <c r="I1492" i="4"/>
  <c r="D1493" i="4"/>
  <c r="G1493" i="4" l="1"/>
  <c r="J1493" i="4"/>
  <c r="H1493" i="4"/>
  <c r="I1493" i="4"/>
  <c r="D1494" i="4"/>
  <c r="J1494" i="4" l="1"/>
  <c r="G1494" i="4"/>
  <c r="H1494" i="4"/>
  <c r="I1494" i="4"/>
  <c r="D1495" i="4"/>
  <c r="G1495" i="4" l="1"/>
  <c r="H1495" i="4"/>
  <c r="I1495" i="4"/>
  <c r="J1495" i="4"/>
  <c r="D1496" i="4"/>
  <c r="J1496" i="4" l="1"/>
  <c r="D1497" i="4"/>
  <c r="I1496" i="4"/>
  <c r="D1498" i="4"/>
  <c r="G1496" i="4"/>
  <c r="H1496" i="4"/>
  <c r="D1499" i="4"/>
  <c r="G1499" i="4" l="1"/>
  <c r="H1499" i="4"/>
  <c r="I1499" i="4"/>
  <c r="J1499" i="4"/>
  <c r="D1500" i="4"/>
  <c r="J1498" i="4"/>
  <c r="H1498" i="4"/>
  <c r="I1498" i="4"/>
  <c r="G1498" i="4"/>
  <c r="I1497" i="4"/>
  <c r="G1497" i="4"/>
  <c r="H1497" i="4"/>
  <c r="J1497" i="4"/>
  <c r="G1500" i="4" l="1"/>
  <c r="H1500" i="4"/>
  <c r="I1500" i="4"/>
  <c r="J1500" i="4"/>
  <c r="D1501" i="4"/>
  <c r="H1501" i="4" l="1"/>
  <c r="J1501" i="4"/>
  <c r="G1501" i="4"/>
  <c r="I1501" i="4"/>
  <c r="D1502" i="4"/>
  <c r="J1502" i="4" l="1"/>
  <c r="I1502" i="4"/>
  <c r="D1503" i="4"/>
  <c r="G1502" i="4"/>
  <c r="H1502" i="4"/>
  <c r="G1503" i="4" l="1"/>
  <c r="H1503" i="4"/>
  <c r="I1503" i="4"/>
  <c r="J1503" i="4"/>
  <c r="D1505" i="4"/>
  <c r="D1506" i="4"/>
  <c r="D1504" i="4"/>
  <c r="J1506" i="4" l="1"/>
  <c r="G1506" i="4"/>
  <c r="I1506" i="4"/>
  <c r="H1506" i="4"/>
  <c r="D1507" i="4"/>
  <c r="G1504" i="4"/>
  <c r="H1504" i="4"/>
  <c r="I1504" i="4"/>
  <c r="J1504" i="4"/>
  <c r="I1505" i="4"/>
  <c r="J1505" i="4"/>
  <c r="G1505" i="4"/>
  <c r="H1505" i="4"/>
  <c r="I1507" i="4" l="1"/>
  <c r="J1507" i="4"/>
  <c r="G1507" i="4"/>
  <c r="H1507" i="4"/>
  <c r="D1508" i="4"/>
  <c r="G1508" i="4" l="1"/>
  <c r="H1508" i="4"/>
  <c r="J1508" i="4"/>
  <c r="D1509" i="4"/>
  <c r="I1508" i="4"/>
  <c r="J1509" i="4" l="1"/>
  <c r="G1509" i="4"/>
  <c r="I1509" i="4"/>
  <c r="H1509" i="4"/>
  <c r="D1510" i="4"/>
  <c r="J1510" i="4" l="1"/>
  <c r="G1510" i="4"/>
  <c r="H1510" i="4"/>
  <c r="I1510" i="4"/>
  <c r="D1511" i="4"/>
  <c r="D1513" i="4"/>
  <c r="D1512" i="4"/>
  <c r="G1513" i="4" l="1"/>
  <c r="J1513" i="4"/>
  <c r="H1513" i="4"/>
  <c r="I1513" i="4"/>
  <c r="D1514" i="4"/>
  <c r="G1512" i="4"/>
  <c r="H1512" i="4"/>
  <c r="I1512" i="4"/>
  <c r="J1512" i="4"/>
  <c r="H1511" i="4"/>
  <c r="G1511" i="4"/>
  <c r="I1511" i="4"/>
  <c r="J1511" i="4"/>
  <c r="J1514" i="4" l="1"/>
  <c r="G1514" i="4"/>
  <c r="I1514" i="4"/>
  <c r="H1514" i="4"/>
  <c r="D1515" i="4"/>
  <c r="G1515" i="4" l="1"/>
  <c r="H1515" i="4"/>
  <c r="I1515" i="4"/>
  <c r="J1515" i="4"/>
  <c r="D1516" i="4"/>
  <c r="G1516" i="4" l="1"/>
  <c r="H1516" i="4"/>
  <c r="I1516" i="4"/>
  <c r="J1516" i="4"/>
  <c r="D1517" i="4"/>
  <c r="J1517" i="4" l="1"/>
  <c r="G1517" i="4"/>
  <c r="H1517" i="4"/>
  <c r="I1517" i="4"/>
  <c r="D1520" i="4"/>
  <c r="D1519" i="4"/>
  <c r="D1518" i="4"/>
  <c r="H1519" i="4" l="1"/>
  <c r="I1519" i="4"/>
  <c r="J1519" i="4"/>
  <c r="G1519" i="4"/>
  <c r="J1518" i="4"/>
  <c r="H1518" i="4"/>
  <c r="G1518" i="4"/>
  <c r="I1518" i="4"/>
  <c r="J1520" i="4"/>
  <c r="G1520" i="4"/>
  <c r="H1520" i="4"/>
  <c r="I1520" i="4"/>
  <c r="D1521" i="4"/>
  <c r="G1521" i="4" l="1"/>
  <c r="H1521" i="4"/>
  <c r="I1521" i="4"/>
  <c r="D1522" i="4"/>
  <c r="J1521" i="4"/>
  <c r="J1522" i="4" l="1"/>
  <c r="I1522" i="4"/>
  <c r="H1522" i="4"/>
  <c r="G1522" i="4"/>
  <c r="D1523" i="4"/>
  <c r="H1523" i="4" l="1"/>
  <c r="G1523" i="4"/>
  <c r="I1523" i="4"/>
  <c r="J1523" i="4"/>
  <c r="D1524" i="4"/>
  <c r="G1524" i="4" l="1"/>
  <c r="I1524" i="4"/>
  <c r="J1524" i="4"/>
  <c r="H1524" i="4"/>
  <c r="D1525" i="4"/>
  <c r="D1526" i="4"/>
  <c r="D1527" i="4"/>
  <c r="D1528" i="4"/>
  <c r="G1527" i="4" l="1"/>
  <c r="H1527" i="4"/>
  <c r="I1527" i="4"/>
  <c r="J1527" i="4"/>
  <c r="G1528" i="4"/>
  <c r="H1528" i="4"/>
  <c r="I1528" i="4"/>
  <c r="J1528" i="4"/>
  <c r="D1529" i="4"/>
  <c r="G1525" i="4"/>
  <c r="H1525" i="4"/>
  <c r="I1525" i="4"/>
  <c r="J1525" i="4"/>
  <c r="J1526" i="4"/>
  <c r="G1526" i="4"/>
  <c r="H1526" i="4"/>
  <c r="I1526" i="4"/>
  <c r="H1529" i="4" l="1"/>
  <c r="I1529" i="4"/>
  <c r="J1529" i="4"/>
  <c r="G1529" i="4"/>
  <c r="D1530" i="4"/>
  <c r="J1530" i="4" l="1"/>
  <c r="H1530" i="4"/>
  <c r="G1530" i="4"/>
  <c r="I1530" i="4"/>
  <c r="D1531" i="4"/>
  <c r="G1531" i="4" l="1"/>
  <c r="H1531" i="4"/>
  <c r="I1531" i="4"/>
  <c r="J1531" i="4"/>
  <c r="D1532" i="4"/>
  <c r="D1533" i="4"/>
  <c r="D1534" i="4"/>
  <c r="J1534" i="4" l="1"/>
  <c r="I1534" i="4"/>
  <c r="G1534" i="4"/>
  <c r="H1534" i="4"/>
  <c r="D1535" i="4"/>
  <c r="G1532" i="4"/>
  <c r="H1532" i="4"/>
  <c r="I1532" i="4"/>
  <c r="J1532" i="4"/>
  <c r="I1533" i="4"/>
  <c r="J1533" i="4"/>
  <c r="H1533" i="4"/>
  <c r="G1533" i="4"/>
  <c r="G1535" i="4" l="1"/>
  <c r="H1535" i="4"/>
  <c r="I1535" i="4"/>
  <c r="J1535" i="4"/>
  <c r="D1536" i="4"/>
  <c r="H1536" i="4" l="1"/>
  <c r="I1536" i="4"/>
  <c r="G1536" i="4"/>
  <c r="J1536" i="4"/>
  <c r="D1537" i="4"/>
  <c r="G1537" i="4" l="1"/>
  <c r="H1537" i="4"/>
  <c r="D1542" i="4"/>
  <c r="D1538" i="4"/>
  <c r="I1537" i="4"/>
  <c r="J1537" i="4"/>
  <c r="D1540" i="4"/>
  <c r="D1541" i="4"/>
  <c r="D1539" i="4"/>
  <c r="J1541" i="4" l="1"/>
  <c r="H1541" i="4"/>
  <c r="I1541" i="4"/>
  <c r="G1541" i="4"/>
  <c r="G1539" i="4"/>
  <c r="H1539" i="4"/>
  <c r="I1539" i="4"/>
  <c r="J1539" i="4"/>
  <c r="H1540" i="4"/>
  <c r="G1540" i="4"/>
  <c r="I1540" i="4"/>
  <c r="J1540" i="4"/>
  <c r="J1538" i="4"/>
  <c r="G1538" i="4"/>
  <c r="H1538" i="4"/>
  <c r="I1538" i="4"/>
  <c r="J1542" i="4"/>
  <c r="I1542" i="4"/>
  <c r="G1542" i="4"/>
  <c r="H1542" i="4"/>
  <c r="D1543" i="4"/>
  <c r="H1543" i="4" l="1"/>
  <c r="G1543" i="4"/>
  <c r="I1543" i="4"/>
  <c r="J1543" i="4"/>
  <c r="D1544" i="4"/>
  <c r="I1544" i="4" l="1"/>
  <c r="G1544" i="4"/>
  <c r="H1544" i="4"/>
  <c r="D1545" i="4"/>
  <c r="J1544" i="4"/>
  <c r="G1545" i="4" l="1"/>
  <c r="H1545" i="4"/>
  <c r="J1545" i="4"/>
  <c r="I1545" i="4"/>
  <c r="D1547" i="4"/>
  <c r="D1548" i="4"/>
  <c r="D1546" i="4"/>
  <c r="I1548" i="4" l="1"/>
  <c r="J1548" i="4"/>
  <c r="H1548" i="4"/>
  <c r="G1548" i="4"/>
  <c r="D1549" i="4"/>
  <c r="J1546" i="4"/>
  <c r="H1546" i="4"/>
  <c r="I1546" i="4"/>
  <c r="G1546" i="4"/>
  <c r="I1547" i="4"/>
  <c r="G1547" i="4"/>
  <c r="H1547" i="4"/>
  <c r="J1547" i="4"/>
  <c r="H1549" i="4" l="1"/>
  <c r="I1549" i="4"/>
  <c r="J1549" i="4"/>
  <c r="D1550" i="4"/>
  <c r="G1549" i="4"/>
  <c r="J1550" i="4" l="1"/>
  <c r="G1550" i="4"/>
  <c r="H1550" i="4"/>
  <c r="I1550" i="4"/>
  <c r="D1551" i="4"/>
  <c r="G1551" i="4" l="1"/>
  <c r="I1551" i="4"/>
  <c r="J1551" i="4"/>
  <c r="H1551" i="4"/>
  <c r="D1552" i="4"/>
  <c r="G1552" i="4" l="1"/>
  <c r="H1552" i="4"/>
  <c r="J1552" i="4"/>
  <c r="I1552" i="4"/>
  <c r="D1553" i="4"/>
  <c r="D1555" i="4"/>
  <c r="D1554" i="4"/>
  <c r="H1555" i="4" l="1"/>
  <c r="G1555" i="4"/>
  <c r="I1555" i="4"/>
  <c r="J1555" i="4"/>
  <c r="D1556" i="4"/>
  <c r="J1554" i="4"/>
  <c r="I1554" i="4"/>
  <c r="G1554" i="4"/>
  <c r="H1554" i="4"/>
  <c r="I1553" i="4"/>
  <c r="J1553" i="4"/>
  <c r="G1553" i="4"/>
  <c r="H1553" i="4"/>
  <c r="G1556" i="4" l="1"/>
  <c r="H1556" i="4"/>
  <c r="I1556" i="4"/>
  <c r="J1556" i="4"/>
  <c r="D1557" i="4"/>
  <c r="G1557" i="4" l="1"/>
  <c r="H1557" i="4"/>
  <c r="I1557" i="4"/>
  <c r="J1557" i="4"/>
  <c r="D1558" i="4"/>
  <c r="J1558" i="4" l="1"/>
  <c r="I1558" i="4"/>
  <c r="G1558" i="4"/>
  <c r="H1558" i="4"/>
  <c r="D1559" i="4"/>
  <c r="I1559" i="4" l="1"/>
  <c r="H1559" i="4"/>
  <c r="D1560" i="4"/>
  <c r="G1559" i="4"/>
  <c r="J1559" i="4"/>
  <c r="D1561" i="4"/>
  <c r="D1562" i="4"/>
  <c r="J1562" i="4" l="1"/>
  <c r="H1562" i="4"/>
  <c r="G1562" i="4"/>
  <c r="I1562" i="4"/>
  <c r="D1563" i="4"/>
  <c r="G1561" i="4"/>
  <c r="H1561" i="4"/>
  <c r="J1561" i="4"/>
  <c r="I1561" i="4"/>
  <c r="G1560" i="4"/>
  <c r="H1560" i="4"/>
  <c r="I1560" i="4"/>
  <c r="J1560" i="4"/>
  <c r="J1563" i="4" l="1"/>
  <c r="I1563" i="4"/>
  <c r="G1563" i="4"/>
  <c r="H1563" i="4"/>
  <c r="D1564" i="4"/>
  <c r="H1564" i="4" l="1"/>
  <c r="I1564" i="4"/>
  <c r="J1564" i="4"/>
  <c r="G1564" i="4"/>
  <c r="D1565" i="4"/>
  <c r="G1565" i="4" l="1"/>
  <c r="I1565" i="4"/>
  <c r="H1565" i="4"/>
  <c r="J1565" i="4"/>
  <c r="D1566" i="4"/>
  <c r="J1566" i="4" l="1"/>
  <c r="G1566" i="4"/>
  <c r="H1566" i="4"/>
  <c r="I1566" i="4"/>
  <c r="D1569" i="4"/>
  <c r="D1567" i="4"/>
  <c r="D1568" i="4"/>
  <c r="G1569" i="4" l="1"/>
  <c r="H1569" i="4"/>
  <c r="I1569" i="4"/>
  <c r="J1569" i="4"/>
  <c r="D1570" i="4"/>
  <c r="J1568" i="4"/>
  <c r="G1568" i="4"/>
  <c r="H1568" i="4"/>
  <c r="I1568" i="4"/>
  <c r="I1567" i="4"/>
  <c r="J1567" i="4"/>
  <c r="G1567" i="4"/>
  <c r="H1567" i="4"/>
  <c r="J1570" i="4" l="1"/>
  <c r="D1571" i="4"/>
  <c r="H1570" i="4"/>
  <c r="I1570" i="4"/>
  <c r="G1570" i="4"/>
  <c r="G1571" i="4" l="1"/>
  <c r="H1571" i="4"/>
  <c r="D1572" i="4"/>
  <c r="I1571" i="4"/>
  <c r="J1571" i="4"/>
  <c r="H1572" i="4" l="1"/>
  <c r="I1572" i="4"/>
  <c r="J1572" i="4"/>
  <c r="G1572" i="4"/>
  <c r="D1573" i="4"/>
  <c r="G1573" i="4" l="1"/>
  <c r="I1573" i="4"/>
  <c r="H1573" i="4"/>
  <c r="D1576" i="4"/>
  <c r="J1573" i="4"/>
  <c r="D1574" i="4"/>
  <c r="D1575" i="4"/>
  <c r="G1575" i="4" l="1"/>
  <c r="H1575" i="4"/>
  <c r="I1575" i="4"/>
  <c r="J1575" i="4"/>
  <c r="J1574" i="4"/>
  <c r="G1574" i="4"/>
  <c r="H1574" i="4"/>
  <c r="I1574" i="4"/>
  <c r="G1576" i="4"/>
  <c r="I1576" i="4"/>
  <c r="H1576" i="4"/>
  <c r="J1576" i="4"/>
  <c r="D1577" i="4"/>
  <c r="G1577" i="4" l="1"/>
  <c r="H1577" i="4"/>
  <c r="I1577" i="4"/>
  <c r="J1577" i="4"/>
  <c r="D1578" i="4"/>
  <c r="J1578" i="4" l="1"/>
  <c r="D1579" i="4"/>
  <c r="G1578" i="4"/>
  <c r="H1578" i="4"/>
  <c r="I1578" i="4"/>
  <c r="G1579" i="4" l="1"/>
  <c r="H1579" i="4"/>
  <c r="D1580" i="4"/>
  <c r="I1579" i="4"/>
  <c r="J1579" i="4"/>
  <c r="G1580" i="4" l="1"/>
  <c r="H1580" i="4"/>
  <c r="I1580" i="4"/>
  <c r="J1580" i="4"/>
  <c r="D1582" i="4"/>
  <c r="D1583" i="4"/>
  <c r="D1581" i="4"/>
  <c r="H1581" i="4" l="1"/>
  <c r="I1581" i="4"/>
  <c r="J1581" i="4"/>
  <c r="G1581" i="4"/>
  <c r="I1583" i="4"/>
  <c r="J1583" i="4"/>
  <c r="D1584" i="4"/>
  <c r="H1583" i="4"/>
  <c r="G1583" i="4"/>
  <c r="J1582" i="4"/>
  <c r="G1582" i="4"/>
  <c r="H1582" i="4"/>
  <c r="I1582" i="4"/>
  <c r="H1584" i="4" l="1"/>
  <c r="G1584" i="4"/>
  <c r="I1584" i="4"/>
  <c r="J1584" i="4"/>
  <c r="D1585" i="4"/>
  <c r="J1585" i="4" l="1"/>
  <c r="G1585" i="4"/>
  <c r="H1585" i="4"/>
  <c r="I1585" i="4"/>
  <c r="D1586" i="4"/>
  <c r="J1586" i="4" l="1"/>
  <c r="G1586" i="4"/>
  <c r="H1586" i="4"/>
  <c r="I1586" i="4"/>
  <c r="D1587" i="4"/>
  <c r="G1587" i="4" l="1"/>
  <c r="I1587" i="4"/>
  <c r="D1589" i="4"/>
  <c r="J1587" i="4"/>
  <c r="H1587" i="4"/>
  <c r="D1591" i="4"/>
  <c r="D1590" i="4"/>
  <c r="D1588" i="4"/>
  <c r="J1590" i="4" l="1"/>
  <c r="G1590" i="4"/>
  <c r="H1590" i="4"/>
  <c r="I1590" i="4"/>
  <c r="I1588" i="4"/>
  <c r="H1588" i="4"/>
  <c r="J1588" i="4"/>
  <c r="G1588" i="4"/>
  <c r="H1591" i="4"/>
  <c r="I1591" i="4"/>
  <c r="J1591" i="4"/>
  <c r="G1591" i="4"/>
  <c r="D1592" i="4"/>
  <c r="G1589" i="4"/>
  <c r="H1589" i="4"/>
  <c r="I1589" i="4"/>
  <c r="J1589" i="4"/>
  <c r="J1592" i="4" l="1"/>
  <c r="H1592" i="4"/>
  <c r="I1592" i="4"/>
  <c r="G1592" i="4"/>
  <c r="D1593" i="4"/>
  <c r="G1593" i="4" l="1"/>
  <c r="I1593" i="4"/>
  <c r="H1593" i="4"/>
  <c r="D1594" i="4"/>
  <c r="J1593" i="4"/>
  <c r="J1594" i="4" l="1"/>
  <c r="G1594" i="4"/>
  <c r="H1594" i="4"/>
  <c r="I1594" i="4"/>
  <c r="D1595" i="4"/>
  <c r="D1597" i="4"/>
  <c r="D1596" i="4"/>
  <c r="G1596" i="4" l="1"/>
  <c r="H1596" i="4"/>
  <c r="I1596" i="4"/>
  <c r="J1596" i="4"/>
  <c r="G1597" i="4"/>
  <c r="H1597" i="4"/>
  <c r="I1597" i="4"/>
  <c r="J1597" i="4"/>
  <c r="D1598" i="4"/>
  <c r="H1595" i="4"/>
  <c r="I1595" i="4"/>
  <c r="J1595" i="4"/>
  <c r="G1595" i="4"/>
  <c r="J1598" i="4" l="1"/>
  <c r="I1598" i="4"/>
  <c r="H1598" i="4"/>
  <c r="G1598" i="4"/>
  <c r="D1599" i="4"/>
  <c r="G1599" i="4" l="1"/>
  <c r="I1599" i="4"/>
  <c r="J1599" i="4"/>
  <c r="H1599" i="4"/>
  <c r="D1600" i="4"/>
  <c r="G1600" i="4" l="1"/>
  <c r="I1600" i="4"/>
  <c r="H1600" i="4"/>
  <c r="J1600" i="4"/>
  <c r="D1601" i="4"/>
  <c r="G1601" i="4" l="1"/>
  <c r="H1601" i="4"/>
  <c r="I1601" i="4"/>
  <c r="J1601" i="4"/>
  <c r="D1603" i="4"/>
  <c r="D1604" i="4"/>
  <c r="D1602" i="4"/>
  <c r="G1604" i="4" l="1"/>
  <c r="H1604" i="4"/>
  <c r="I1604" i="4"/>
  <c r="J1604" i="4"/>
  <c r="D1605" i="4"/>
  <c r="J1602" i="4"/>
  <c r="H1602" i="4"/>
  <c r="I1602" i="4"/>
  <c r="G1602" i="4"/>
  <c r="G1603" i="4"/>
  <c r="I1603" i="4"/>
  <c r="H1603" i="4"/>
  <c r="J1603" i="4"/>
  <c r="I1605" i="4" l="1"/>
  <c r="J1605" i="4"/>
  <c r="G1605" i="4"/>
  <c r="H1605" i="4"/>
  <c r="D1607" i="4"/>
  <c r="D1609" i="4"/>
  <c r="D1610" i="4"/>
  <c r="D1611" i="4"/>
  <c r="D1606" i="4"/>
  <c r="D1608" i="4"/>
  <c r="J1606" i="4" l="1"/>
  <c r="H1606" i="4"/>
  <c r="G1606" i="4"/>
  <c r="I1606" i="4"/>
  <c r="H1611" i="4"/>
  <c r="I1611" i="4"/>
  <c r="J1611" i="4"/>
  <c r="G1611" i="4"/>
  <c r="D1612" i="4"/>
  <c r="G1609" i="4"/>
  <c r="J1609" i="4"/>
  <c r="H1609" i="4"/>
  <c r="I1609" i="4"/>
  <c r="J1608" i="4"/>
  <c r="I1608" i="4"/>
  <c r="G1608" i="4"/>
  <c r="H1608" i="4"/>
  <c r="J1610" i="4"/>
  <c r="I1610" i="4"/>
  <c r="H1610" i="4"/>
  <c r="G1610" i="4"/>
  <c r="G1607" i="4"/>
  <c r="H1607" i="4"/>
  <c r="J1607" i="4"/>
  <c r="I1607" i="4"/>
  <c r="J1612" i="4" l="1"/>
  <c r="G1612" i="4"/>
  <c r="H1612" i="4"/>
  <c r="I1612" i="4"/>
  <c r="D1613" i="4"/>
  <c r="H1613" i="4" l="1"/>
  <c r="I1613" i="4"/>
  <c r="G1613" i="4"/>
  <c r="J1613" i="4"/>
  <c r="D1614" i="4"/>
  <c r="J1614" i="4" l="1"/>
  <c r="I1614" i="4"/>
  <c r="G1614" i="4"/>
  <c r="H1614" i="4"/>
  <c r="D1615" i="4"/>
  <c r="J1615" i="4" l="1"/>
  <c r="I1615" i="4"/>
  <c r="G1615" i="4"/>
  <c r="H1615" i="4"/>
  <c r="D1618" i="4"/>
  <c r="D1616" i="4"/>
  <c r="D1617" i="4"/>
  <c r="G1616" i="4" l="1"/>
  <c r="J1616" i="4"/>
  <c r="H1616" i="4"/>
  <c r="I1616" i="4"/>
  <c r="I1617" i="4"/>
  <c r="G1617" i="4"/>
  <c r="H1617" i="4"/>
  <c r="J1617" i="4"/>
  <c r="J1618" i="4"/>
  <c r="G1618" i="4"/>
  <c r="H1618" i="4"/>
  <c r="I1618" i="4"/>
  <c r="D1619" i="4"/>
  <c r="G1619" i="4" l="1"/>
  <c r="H1619" i="4"/>
  <c r="D1620" i="4"/>
  <c r="I1619" i="4"/>
  <c r="J1619" i="4"/>
  <c r="G1620" i="4" l="1"/>
  <c r="I1620" i="4"/>
  <c r="H1620" i="4"/>
  <c r="J1620" i="4"/>
</calcChain>
</file>

<file path=xl/sharedStrings.xml><?xml version="1.0" encoding="utf-8"?>
<sst xmlns="http://schemas.openxmlformats.org/spreadsheetml/2006/main" count="1631" uniqueCount="14">
  <si>
    <t>UZONIA index</t>
  </si>
  <si>
    <t>180-day UZONIA</t>
  </si>
  <si>
    <t>90-day UZONIA</t>
  </si>
  <si>
    <t>30-day UZONIA</t>
  </si>
  <si>
    <t>7-day UZONIA</t>
  </si>
  <si>
    <t>UZONIA</t>
  </si>
  <si>
    <t>Day-off</t>
  </si>
  <si>
    <t>Working day</t>
  </si>
  <si>
    <t>Date</t>
  </si>
  <si>
    <t>Day</t>
  </si>
  <si>
    <t>weight</t>
  </si>
  <si>
    <t>UZONIA index 
(ручной)</t>
  </si>
  <si>
    <t xml:space="preserve"> </t>
  </si>
  <si>
    <t>Asosiy stavka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</si>
</sst>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%"/>
    <numFmt numFmtId="166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1620"/>
  <sheetViews>
    <sheetView tabSelected="1" zoomScaleNormal="100" workbookViewId="0">
      <pane xSplit="2" ySplit="1" topLeftCell="C1605" activePane="bottomRight" state="frozen"/>
      <selection pane="topRight" activeCell="D1" sqref="D1"/>
      <selection pane="bottomLeft" activeCell="A3" sqref="A3"/>
      <selection pane="bottomRight" activeCell="C1620" sqref="C1620"/>
    </sheetView>
  </sheetViews>
  <sheetFormatPr defaultColWidth="9.140625" defaultRowHeight="15" x14ac:dyDescent="0.25"/>
  <cols>
    <col min="1" max="2" width="19" style="2" customWidth="1"/>
    <col min="3" max="3" width="23.28515625" style="2" customWidth="1"/>
    <col min="4" max="4" width="23.28515625" style="4" customWidth="1"/>
    <col min="5" max="5" width="20" style="2" customWidth="1"/>
    <col min="6" max="6" width="12.28515625" style="2" bestFit="1" customWidth="1"/>
    <col min="7" max="10" width="16.5703125" style="1" customWidth="1"/>
    <col min="11" max="11" width="14.5703125" style="1" customWidth="1"/>
    <col min="12" max="12" width="9.140625" style="1"/>
    <col min="13" max="13" width="10.140625" style="1" bestFit="1" customWidth="1"/>
    <col min="14" max="16384" width="9.140625" style="1"/>
  </cols>
  <sheetData>
    <row r="1" spans="1:15" ht="34.5" customHeight="1" x14ac:dyDescent="0.25">
      <c r="A1" s="5" t="s">
        <v>9</v>
      </c>
      <c r="B1" s="5" t="s">
        <v>8</v>
      </c>
      <c r="C1" s="6" t="s">
        <v>5</v>
      </c>
      <c r="D1" s="6" t="s">
        <v>0</v>
      </c>
      <c r="E1" s="7" t="s">
        <v>11</v>
      </c>
      <c r="F1" s="6" t="s">
        <v>10</v>
      </c>
      <c r="G1" s="6" t="s">
        <v>4</v>
      </c>
      <c r="H1" s="6" t="s">
        <v>3</v>
      </c>
      <c r="I1" s="6" t="s">
        <v>2</v>
      </c>
      <c r="J1" s="6" t="s">
        <v>1</v>
      </c>
      <c r="K1" s="37" t="s">
        <v>13</v>
      </c>
    </row>
    <row r="2" spans="1:15" x14ac:dyDescent="0.25">
      <c r="A2" s="8" t="s">
        <v>7</v>
      </c>
      <c r="B2" s="8">
        <v>44566</v>
      </c>
      <c r="C2" s="9">
        <v>0.13</v>
      </c>
      <c r="D2" s="10">
        <v>100</v>
      </c>
      <c r="E2" s="11">
        <v>100</v>
      </c>
      <c r="F2" s="12">
        <v>6</v>
      </c>
      <c r="G2" s="13"/>
      <c r="H2" s="13"/>
      <c r="I2" s="13"/>
      <c r="J2" s="13"/>
      <c r="K2" s="36">
        <v>14</v>
      </c>
    </row>
    <row r="3" spans="1:15" x14ac:dyDescent="0.25">
      <c r="A3" s="8" t="s">
        <v>7</v>
      </c>
      <c r="B3" s="8">
        <v>44567</v>
      </c>
      <c r="C3" s="9">
        <v>0.13</v>
      </c>
      <c r="D3" s="10">
        <f t="shared" ref="D3:D66" ca="1" si="0">+IF(F3=1,D2*(1+C2*F3/365),OFFSET(D2,-F3+1,0)*(1+C2*F3/365))</f>
        <v>100.03561643835617</v>
      </c>
      <c r="E3" s="11">
        <f>+E2*(1+C2*F3/365)</f>
        <v>100.03561643835617</v>
      </c>
      <c r="F3" s="12">
        <v>1</v>
      </c>
      <c r="G3" s="13"/>
      <c r="H3" s="13"/>
      <c r="I3" s="13"/>
      <c r="J3" s="13"/>
      <c r="K3" s="36">
        <v>14</v>
      </c>
    </row>
    <row r="4" spans="1:15" x14ac:dyDescent="0.25">
      <c r="A4" s="8" t="s">
        <v>7</v>
      </c>
      <c r="B4" s="8">
        <v>44568</v>
      </c>
      <c r="C4" s="9">
        <v>0.13</v>
      </c>
      <c r="D4" s="10">
        <f t="shared" ca="1" si="0"/>
        <v>100.07124556201916</v>
      </c>
      <c r="E4" s="11">
        <f>+E3*(1+C3*F4/365)</f>
        <v>100.07124556201916</v>
      </c>
      <c r="F4" s="12">
        <v>1</v>
      </c>
      <c r="G4" s="13"/>
      <c r="H4" s="13"/>
      <c r="I4" s="13"/>
      <c r="J4" s="13"/>
      <c r="K4" s="36">
        <v>14</v>
      </c>
    </row>
    <row r="5" spans="1:15" x14ac:dyDescent="0.25">
      <c r="A5" s="8" t="s">
        <v>7</v>
      </c>
      <c r="B5" s="8">
        <v>44569</v>
      </c>
      <c r="C5" s="9">
        <v>0.12953514234875399</v>
      </c>
      <c r="D5" s="10">
        <f t="shared" ca="1" si="0"/>
        <v>100.106887375507</v>
      </c>
      <c r="E5" s="11">
        <f>+E4*(1+C4*F5/365)</f>
        <v>100.106887375507</v>
      </c>
      <c r="F5" s="12">
        <v>1</v>
      </c>
      <c r="G5" s="13"/>
      <c r="H5" s="13"/>
      <c r="I5" s="13"/>
      <c r="J5" s="13"/>
      <c r="K5" s="36">
        <v>14</v>
      </c>
    </row>
    <row r="6" spans="1:15" x14ac:dyDescent="0.25">
      <c r="A6" s="14" t="s">
        <v>6</v>
      </c>
      <c r="B6" s="14">
        <v>44570</v>
      </c>
      <c r="C6" s="15">
        <v>0.12953514234875446</v>
      </c>
      <c r="D6" s="16">
        <f t="shared" ca="1" si="0"/>
        <v>100.14241438894885</v>
      </c>
      <c r="E6" s="17">
        <f>+E5*(1+C5*F6/365)</f>
        <v>100.14241438894885</v>
      </c>
      <c r="F6" s="18">
        <v>1</v>
      </c>
      <c r="G6" s="19"/>
      <c r="H6" s="19"/>
      <c r="I6" s="19"/>
      <c r="J6" s="19"/>
      <c r="K6" s="36">
        <v>14</v>
      </c>
    </row>
    <row r="7" spans="1:15" x14ac:dyDescent="0.25">
      <c r="A7" s="8" t="s">
        <v>7</v>
      </c>
      <c r="B7" s="8">
        <v>44571</v>
      </c>
      <c r="C7" s="9">
        <v>0.13</v>
      </c>
      <c r="D7" s="10">
        <f t="shared" ca="1" si="0"/>
        <v>100.17794140239072</v>
      </c>
      <c r="E7" s="11">
        <f>+E5*(1+C6*F7/365)</f>
        <v>100.17794140239072</v>
      </c>
      <c r="F7" s="12">
        <f t="shared" ref="F7:F70" si="1">IF(A6="Working day",1,(IF(A5="Working day",2,(IF(A4="Working day",3,IF(A3="Working day",4,IF(A2="Working day",5,6)))))))</f>
        <v>2</v>
      </c>
      <c r="G7" s="13"/>
      <c r="H7" s="13"/>
      <c r="I7" s="13"/>
      <c r="J7" s="13"/>
      <c r="K7" s="36">
        <v>14</v>
      </c>
    </row>
    <row r="8" spans="1:15" x14ac:dyDescent="0.25">
      <c r="A8" s="8" t="s">
        <v>7</v>
      </c>
      <c r="B8" s="8">
        <v>44572</v>
      </c>
      <c r="C8" s="9">
        <v>0.12873464083175803</v>
      </c>
      <c r="D8" s="10">
        <f t="shared" ca="1" si="0"/>
        <v>100.21362121713678</v>
      </c>
      <c r="E8" s="11">
        <f>+E7*(1+C7*F8/365)</f>
        <v>100.21362121713678</v>
      </c>
      <c r="F8" s="12">
        <f t="shared" si="1"/>
        <v>1</v>
      </c>
      <c r="G8" s="13"/>
      <c r="H8" s="13"/>
      <c r="I8" s="13"/>
      <c r="J8" s="13"/>
      <c r="K8" s="36">
        <v>14</v>
      </c>
    </row>
    <row r="9" spans="1:15" x14ac:dyDescent="0.25">
      <c r="A9" s="8" t="s">
        <v>7</v>
      </c>
      <c r="B9" s="8">
        <v>44573</v>
      </c>
      <c r="C9" s="9">
        <v>0.12127413127413128</v>
      </c>
      <c r="D9" s="10">
        <f t="shared" ca="1" si="0"/>
        <v>100.24896632544865</v>
      </c>
      <c r="E9" s="11">
        <f>+E8*(1+C8*F9/365)</f>
        <v>100.24896632544865</v>
      </c>
      <c r="F9" s="12">
        <f t="shared" si="1"/>
        <v>1</v>
      </c>
      <c r="G9" s="20" t="s">
        <v>12</v>
      </c>
      <c r="H9" s="13"/>
      <c r="I9" s="13"/>
      <c r="J9" s="13"/>
      <c r="K9" s="36">
        <v>14</v>
      </c>
      <c r="N9" s="3"/>
      <c r="O9" s="3"/>
    </row>
    <row r="10" spans="1:15" x14ac:dyDescent="0.25">
      <c r="A10" s="8" t="s">
        <v>7</v>
      </c>
      <c r="B10" s="8">
        <v>44574</v>
      </c>
      <c r="C10" s="9">
        <v>0.12013888888888889</v>
      </c>
      <c r="D10" s="10">
        <f t="shared" ca="1" si="0"/>
        <v>100.28227483586578</v>
      </c>
      <c r="E10" s="11">
        <f>+E9*(1+C9*F10/365)</f>
        <v>100.28227483586578</v>
      </c>
      <c r="F10" s="12">
        <f t="shared" si="1"/>
        <v>1</v>
      </c>
      <c r="G10" s="20">
        <f t="shared" ref="G10:G72" ca="1" si="2">(D10/OFFSET(D10,-7,0)-1)*365/7</f>
        <v>0.12856894416554734</v>
      </c>
      <c r="H10" s="13"/>
      <c r="I10" s="13"/>
      <c r="J10" s="13"/>
      <c r="K10" s="36">
        <v>14</v>
      </c>
      <c r="N10" s="3"/>
      <c r="O10" s="3"/>
    </row>
    <row r="11" spans="1:15" x14ac:dyDescent="0.25">
      <c r="A11" s="8" t="s">
        <v>7</v>
      </c>
      <c r="B11" s="8">
        <v>44575</v>
      </c>
      <c r="C11" s="9">
        <v>0.12209687308399754</v>
      </c>
      <c r="D11" s="10">
        <f t="shared" ca="1" si="0"/>
        <v>100.3152825100412</v>
      </c>
      <c r="E11" s="11">
        <f>+E10*(1+C10*F11/365)</f>
        <v>100.3152825100412</v>
      </c>
      <c r="F11" s="12">
        <f t="shared" si="1"/>
        <v>1</v>
      </c>
      <c r="G11" s="20">
        <f t="shared" ca="1" si="2"/>
        <v>0.12715724329029646</v>
      </c>
      <c r="H11" s="13"/>
      <c r="I11" s="13"/>
      <c r="J11" s="13"/>
      <c r="K11" s="36">
        <v>14</v>
      </c>
      <c r="N11" s="3"/>
      <c r="O11" s="3"/>
    </row>
    <row r="12" spans="1:15" x14ac:dyDescent="0.25">
      <c r="A12" s="14" t="s">
        <v>6</v>
      </c>
      <c r="B12" s="14">
        <v>44576</v>
      </c>
      <c r="C12" s="15">
        <v>0.12209687308399754</v>
      </c>
      <c r="D12" s="16">
        <f t="shared" ca="1" si="0"/>
        <v>100.34883917392344</v>
      </c>
      <c r="E12" s="17">
        <f>+E11*(1+C11*F12/365)</f>
        <v>100.34883917392344</v>
      </c>
      <c r="F12" s="18">
        <f t="shared" si="1"/>
        <v>1</v>
      </c>
      <c r="G12" s="15">
        <f t="shared" ca="1" si="2"/>
        <v>0.12602587485276967</v>
      </c>
      <c r="H12" s="19"/>
      <c r="I12" s="19"/>
      <c r="J12" s="19"/>
      <c r="K12" s="36">
        <v>14</v>
      </c>
      <c r="N12" s="3"/>
      <c r="O12" s="3"/>
    </row>
    <row r="13" spans="1:15" x14ac:dyDescent="0.25">
      <c r="A13" s="14" t="s">
        <v>6</v>
      </c>
      <c r="B13" s="14">
        <v>44577</v>
      </c>
      <c r="C13" s="15">
        <v>0.12209687308399754</v>
      </c>
      <c r="D13" s="16">
        <f t="shared" ca="1" si="0"/>
        <v>100.38239583780566</v>
      </c>
      <c r="E13" s="17">
        <f>+E11*(1+C12*F13/365)</f>
        <v>100.38239583780566</v>
      </c>
      <c r="F13" s="18">
        <f t="shared" si="1"/>
        <v>2</v>
      </c>
      <c r="G13" s="15">
        <f t="shared" ca="1" si="2"/>
        <v>0.12495522981975982</v>
      </c>
      <c r="H13" s="19"/>
      <c r="I13" s="19"/>
      <c r="J13" s="19"/>
      <c r="K13" s="36">
        <v>14</v>
      </c>
      <c r="N13" s="3"/>
      <c r="O13" s="3"/>
    </row>
    <row r="14" spans="1:15" x14ac:dyDescent="0.25">
      <c r="A14" s="8" t="s">
        <v>7</v>
      </c>
      <c r="B14" s="8">
        <v>44578</v>
      </c>
      <c r="C14" s="9">
        <v>0.12467105263157896</v>
      </c>
      <c r="D14" s="10">
        <f t="shared" ca="1" si="0"/>
        <v>100.4159525016879</v>
      </c>
      <c r="E14" s="11">
        <f>+E11*(1+C13*F14/365)</f>
        <v>100.4159525016879</v>
      </c>
      <c r="F14" s="12">
        <f t="shared" si="1"/>
        <v>3</v>
      </c>
      <c r="G14" s="20">
        <f t="shared" ca="1" si="2"/>
        <v>0.12388534417189932</v>
      </c>
      <c r="H14" s="13"/>
      <c r="I14" s="13"/>
      <c r="J14" s="13"/>
      <c r="K14" s="36">
        <v>14</v>
      </c>
      <c r="N14" s="3"/>
      <c r="O14" s="3"/>
    </row>
    <row r="15" spans="1:15" x14ac:dyDescent="0.25">
      <c r="A15" s="8" t="s">
        <v>7</v>
      </c>
      <c r="B15" s="8">
        <v>44579</v>
      </c>
      <c r="C15" s="9">
        <v>0.125</v>
      </c>
      <c r="D15" s="10">
        <f t="shared" ca="1" si="0"/>
        <v>100.45025102908349</v>
      </c>
      <c r="E15" s="11">
        <f>+E14*(1+C14*F15/365)</f>
        <v>100.45025102908349</v>
      </c>
      <c r="F15" s="12">
        <f t="shared" si="1"/>
        <v>1</v>
      </c>
      <c r="G15" s="20">
        <f t="shared" ca="1" si="2"/>
        <v>0.12312252895585653</v>
      </c>
      <c r="H15" s="13"/>
      <c r="I15" s="13"/>
      <c r="J15" s="13"/>
      <c r="K15" s="36">
        <v>14</v>
      </c>
      <c r="N15" s="3"/>
      <c r="O15" s="3"/>
    </row>
    <row r="16" spans="1:15" x14ac:dyDescent="0.25">
      <c r="A16" s="8" t="s">
        <v>7</v>
      </c>
      <c r="B16" s="8">
        <v>44580</v>
      </c>
      <c r="C16" s="9">
        <v>0.12895480095834869</v>
      </c>
      <c r="D16" s="10">
        <f t="shared" ca="1" si="0"/>
        <v>100.48465179998385</v>
      </c>
      <c r="E16" s="11">
        <f>+E15*(1+C15*F16/365)</f>
        <v>100.48465179998385</v>
      </c>
      <c r="F16" s="12">
        <f t="shared" si="1"/>
        <v>1</v>
      </c>
      <c r="G16" s="20">
        <f t="shared" ca="1" si="2"/>
        <v>0.12258793760964504</v>
      </c>
      <c r="H16" s="13"/>
      <c r="I16" s="13"/>
      <c r="J16" s="13"/>
      <c r="K16" s="36">
        <v>14</v>
      </c>
      <c r="N16" s="3"/>
      <c r="O16" s="3"/>
    </row>
    <row r="17" spans="1:15" x14ac:dyDescent="0.25">
      <c r="A17" s="8" t="s">
        <v>7</v>
      </c>
      <c r="B17" s="8">
        <v>44581</v>
      </c>
      <c r="C17" s="9">
        <v>0.13</v>
      </c>
      <c r="D17" s="10">
        <f t="shared" ca="1" si="0"/>
        <v>100.52015311031873</v>
      </c>
      <c r="E17" s="11">
        <f>+E16*(1+C16*F17/365)</f>
        <v>100.52015311031873</v>
      </c>
      <c r="F17" s="12">
        <f t="shared" si="1"/>
        <v>1</v>
      </c>
      <c r="G17" s="20">
        <f t="shared" ca="1" si="2"/>
        <v>0.12368739044353538</v>
      </c>
      <c r="H17" s="13"/>
      <c r="I17" s="13"/>
      <c r="J17" s="13"/>
      <c r="K17" s="36">
        <v>14</v>
      </c>
      <c r="N17" s="3"/>
      <c r="O17" s="3"/>
    </row>
    <row r="18" spans="1:15" x14ac:dyDescent="0.25">
      <c r="A18" s="8" t="s">
        <v>7</v>
      </c>
      <c r="B18" s="8">
        <v>44582</v>
      </c>
      <c r="C18" s="9">
        <v>0.13</v>
      </c>
      <c r="D18" s="10">
        <f t="shared" ca="1" si="0"/>
        <v>100.55595480868679</v>
      </c>
      <c r="E18" s="11">
        <f>+E17*(1+C17*F18/365)</f>
        <v>100.55595480868679</v>
      </c>
      <c r="F18" s="12">
        <f t="shared" si="1"/>
        <v>1</v>
      </c>
      <c r="G18" s="20">
        <f t="shared" ca="1" si="2"/>
        <v>0.12509899760551596</v>
      </c>
      <c r="H18" s="13"/>
      <c r="I18" s="13"/>
      <c r="J18" s="13"/>
      <c r="K18" s="36">
        <v>14</v>
      </c>
      <c r="N18" s="3"/>
      <c r="O18" s="3"/>
    </row>
    <row r="19" spans="1:15" x14ac:dyDescent="0.25">
      <c r="A19" s="14" t="s">
        <v>6</v>
      </c>
      <c r="B19" s="14">
        <v>44583</v>
      </c>
      <c r="C19" s="15">
        <v>0.13</v>
      </c>
      <c r="D19" s="16">
        <f t="shared" ca="1" si="0"/>
        <v>100.59176925834468</v>
      </c>
      <c r="E19" s="17">
        <f>+E18*(1+C18*F19/365)</f>
        <v>100.59176925834468</v>
      </c>
      <c r="F19" s="18">
        <f t="shared" si="1"/>
        <v>1</v>
      </c>
      <c r="G19" s="15">
        <f t="shared" ca="1" si="2"/>
        <v>0.12623034598063798</v>
      </c>
      <c r="H19" s="19"/>
      <c r="I19" s="19"/>
      <c r="J19" s="19"/>
      <c r="K19" s="36">
        <v>14</v>
      </c>
      <c r="N19" s="3"/>
      <c r="O19" s="3"/>
    </row>
    <row r="20" spans="1:15" x14ac:dyDescent="0.25">
      <c r="A20" s="14" t="s">
        <v>6</v>
      </c>
      <c r="B20" s="14">
        <v>44584</v>
      </c>
      <c r="C20" s="15">
        <v>0.13</v>
      </c>
      <c r="D20" s="16">
        <f t="shared" ca="1" si="0"/>
        <v>100.62758370800258</v>
      </c>
      <c r="E20" s="17">
        <f>+E18*(1+C19*F20/365)</f>
        <v>100.62758370800258</v>
      </c>
      <c r="F20" s="18">
        <f t="shared" si="1"/>
        <v>2</v>
      </c>
      <c r="G20" s="15">
        <f t="shared" ca="1" si="2"/>
        <v>0.1273609379626309</v>
      </c>
      <c r="H20" s="19"/>
      <c r="I20" s="19"/>
      <c r="J20" s="19"/>
      <c r="K20" s="36">
        <v>14</v>
      </c>
      <c r="N20" s="3"/>
      <c r="O20" s="3"/>
    </row>
    <row r="21" spans="1:15" x14ac:dyDescent="0.25">
      <c r="A21" s="8" t="s">
        <v>7</v>
      </c>
      <c r="B21" s="8">
        <v>44585</v>
      </c>
      <c r="C21" s="9">
        <v>0.13</v>
      </c>
      <c r="D21" s="10">
        <f t="shared" ca="1" si="0"/>
        <v>100.66339815766047</v>
      </c>
      <c r="E21" s="11">
        <f>+E18*(1+C20*F21/365)</f>
        <v>100.66339815766047</v>
      </c>
      <c r="F21" s="12">
        <f t="shared" si="1"/>
        <v>3</v>
      </c>
      <c r="G21" s="20">
        <f t="shared" ca="1" si="2"/>
        <v>0.12849077430979849</v>
      </c>
      <c r="H21" s="13"/>
      <c r="I21" s="13"/>
      <c r="J21" s="13"/>
      <c r="K21" s="36">
        <v>14</v>
      </c>
      <c r="N21" s="3"/>
      <c r="O21" s="3"/>
    </row>
    <row r="22" spans="1:15" x14ac:dyDescent="0.25">
      <c r="A22" s="8" t="s">
        <v>7</v>
      </c>
      <c r="B22" s="8">
        <v>44586</v>
      </c>
      <c r="C22" s="9">
        <v>0.13</v>
      </c>
      <c r="D22" s="10">
        <f t="shared" ca="1" si="0"/>
        <v>100.69925087481252</v>
      </c>
      <c r="E22" s="11">
        <f>+E21*(1+C21*F22/365)</f>
        <v>100.69925087481252</v>
      </c>
      <c r="F22" s="12">
        <f t="shared" si="1"/>
        <v>1</v>
      </c>
      <c r="G22" s="20">
        <f t="shared" ca="1" si="2"/>
        <v>0.12925366787469345</v>
      </c>
      <c r="H22" s="13"/>
      <c r="I22" s="13"/>
      <c r="J22" s="13"/>
      <c r="K22" s="36">
        <v>14</v>
      </c>
      <c r="N22" s="3"/>
      <c r="O22" s="3"/>
    </row>
    <row r="23" spans="1:15" x14ac:dyDescent="0.25">
      <c r="A23" s="8" t="s">
        <v>7</v>
      </c>
      <c r="B23" s="8">
        <v>44587</v>
      </c>
      <c r="C23" s="9">
        <v>0.13</v>
      </c>
      <c r="D23" s="10">
        <f t="shared" ca="1" si="0"/>
        <v>100.73511636142547</v>
      </c>
      <c r="E23" s="11">
        <f>+E22*(1+C22*F23/365)</f>
        <v>100.73511636142547</v>
      </c>
      <c r="F23" s="12">
        <f t="shared" si="1"/>
        <v>1</v>
      </c>
      <c r="G23" s="20">
        <f t="shared" ca="1" si="2"/>
        <v>0.12996947904635539</v>
      </c>
      <c r="H23" s="13"/>
      <c r="I23" s="13"/>
      <c r="J23" s="13"/>
      <c r="K23" s="36">
        <v>14</v>
      </c>
      <c r="N23" s="3"/>
      <c r="O23" s="3"/>
    </row>
    <row r="24" spans="1:15" x14ac:dyDescent="0.25">
      <c r="A24" s="8" t="s">
        <v>7</v>
      </c>
      <c r="B24" s="8">
        <v>44588</v>
      </c>
      <c r="C24" s="9">
        <v>0.13</v>
      </c>
      <c r="D24" s="10">
        <f t="shared" ca="1" si="0"/>
        <v>100.77099462204735</v>
      </c>
      <c r="E24" s="11">
        <f>+E23*(1+C23*F24/365)</f>
        <v>100.77099462204735</v>
      </c>
      <c r="F24" s="12">
        <f t="shared" si="1"/>
        <v>1</v>
      </c>
      <c r="G24" s="20">
        <f t="shared" ca="1" si="2"/>
        <v>0.13011911250482622</v>
      </c>
      <c r="H24" s="13"/>
      <c r="I24" s="13"/>
      <c r="J24" s="13"/>
      <c r="K24" s="36">
        <v>14</v>
      </c>
      <c r="N24" s="3"/>
      <c r="O24" s="3"/>
    </row>
    <row r="25" spans="1:15" x14ac:dyDescent="0.25">
      <c r="A25" s="8" t="s">
        <v>7</v>
      </c>
      <c r="B25" s="8">
        <v>44589</v>
      </c>
      <c r="C25" s="9">
        <v>0.13</v>
      </c>
      <c r="D25" s="10">
        <f t="shared" ca="1" si="0"/>
        <v>100.80688566122781</v>
      </c>
      <c r="E25" s="11">
        <f>+E24*(1+C24*F25/365)</f>
        <v>100.80688566122781</v>
      </c>
      <c r="F25" s="12">
        <f t="shared" si="1"/>
        <v>1</v>
      </c>
      <c r="G25" s="20">
        <f t="shared" ca="1" si="2"/>
        <v>0.13011911250482622</v>
      </c>
      <c r="H25" s="13"/>
      <c r="I25" s="13"/>
      <c r="J25" s="13"/>
      <c r="K25" s="36">
        <v>14</v>
      </c>
      <c r="N25" s="3"/>
      <c r="O25" s="3"/>
    </row>
    <row r="26" spans="1:15" x14ac:dyDescent="0.25">
      <c r="A26" s="14" t="s">
        <v>6</v>
      </c>
      <c r="B26" s="14">
        <v>44590</v>
      </c>
      <c r="C26" s="15">
        <v>0.13</v>
      </c>
      <c r="D26" s="16">
        <f t="shared" ca="1" si="0"/>
        <v>100.84278948351812</v>
      </c>
      <c r="E26" s="17">
        <f>+E25*(1+C25*F26/365)</f>
        <v>100.84278948351812</v>
      </c>
      <c r="F26" s="18">
        <f t="shared" si="1"/>
        <v>1</v>
      </c>
      <c r="G26" s="15">
        <f t="shared" ca="1" si="2"/>
        <v>0.13011911250482622</v>
      </c>
      <c r="H26" s="19"/>
      <c r="I26" s="19"/>
      <c r="J26" s="19"/>
      <c r="K26" s="36">
        <v>14</v>
      </c>
      <c r="N26" s="3"/>
      <c r="O26" s="3"/>
    </row>
    <row r="27" spans="1:15" x14ac:dyDescent="0.25">
      <c r="A27" s="14" t="s">
        <v>6</v>
      </c>
      <c r="B27" s="14">
        <v>44591</v>
      </c>
      <c r="C27" s="15">
        <v>0.13</v>
      </c>
      <c r="D27" s="16">
        <f t="shared" ca="1" si="0"/>
        <v>100.87869330580841</v>
      </c>
      <c r="E27" s="17">
        <f>+E25*(1+C26*F27/365)</f>
        <v>100.87869330580841</v>
      </c>
      <c r="F27" s="18">
        <f t="shared" si="1"/>
        <v>2</v>
      </c>
      <c r="G27" s="15">
        <f t="shared" ca="1" si="2"/>
        <v>0.13011911250482622</v>
      </c>
      <c r="H27" s="19"/>
      <c r="I27" s="19"/>
      <c r="J27" s="19"/>
      <c r="K27" s="36">
        <v>14</v>
      </c>
      <c r="N27" s="3"/>
      <c r="O27" s="3"/>
    </row>
    <row r="28" spans="1:15" x14ac:dyDescent="0.25">
      <c r="A28" s="8" t="s">
        <v>7</v>
      </c>
      <c r="B28" s="8">
        <v>44592</v>
      </c>
      <c r="C28" s="9">
        <v>0.13</v>
      </c>
      <c r="D28" s="10">
        <f t="shared" ca="1" si="0"/>
        <v>100.91459712809872</v>
      </c>
      <c r="E28" s="11">
        <f>+E25*(1+C27*F28/365)</f>
        <v>100.91459712809872</v>
      </c>
      <c r="F28" s="12">
        <f t="shared" si="1"/>
        <v>3</v>
      </c>
      <c r="G28" s="20">
        <f t="shared" ca="1" si="2"/>
        <v>0.13011911250482622</v>
      </c>
      <c r="H28" s="13"/>
      <c r="I28" s="13"/>
      <c r="J28" s="13"/>
      <c r="K28" s="36">
        <v>14</v>
      </c>
      <c r="N28" s="3"/>
      <c r="O28" s="3"/>
    </row>
    <row r="29" spans="1:15" x14ac:dyDescent="0.25">
      <c r="A29" s="8" t="s">
        <v>7</v>
      </c>
      <c r="B29" s="8">
        <v>44593</v>
      </c>
      <c r="C29" s="9">
        <v>0.13</v>
      </c>
      <c r="D29" s="10">
        <f t="shared" ca="1" si="0"/>
        <v>100.95053931337722</v>
      </c>
      <c r="E29" s="11">
        <f>+E28*(1+C28*F29/365)</f>
        <v>100.95053931337722</v>
      </c>
      <c r="F29" s="12">
        <f t="shared" si="1"/>
        <v>1</v>
      </c>
      <c r="G29" s="20">
        <f t="shared" ca="1" si="2"/>
        <v>0.13011911250481464</v>
      </c>
      <c r="H29" s="13"/>
      <c r="I29" s="13"/>
      <c r="J29" s="13"/>
      <c r="K29" s="36">
        <v>14</v>
      </c>
      <c r="N29" s="3"/>
      <c r="O29" s="3"/>
    </row>
    <row r="30" spans="1:15" x14ac:dyDescent="0.25">
      <c r="A30" s="8" t="s">
        <v>7</v>
      </c>
      <c r="B30" s="8">
        <v>44594</v>
      </c>
      <c r="C30" s="9">
        <v>0.13</v>
      </c>
      <c r="D30" s="10">
        <f t="shared" ca="1" si="0"/>
        <v>100.98649429998198</v>
      </c>
      <c r="E30" s="11">
        <f>+E29*(1+C29*F30/365)</f>
        <v>100.98649429998198</v>
      </c>
      <c r="F30" s="12">
        <f t="shared" si="1"/>
        <v>1</v>
      </c>
      <c r="G30" s="20">
        <f t="shared" ca="1" si="2"/>
        <v>0.13011911250481464</v>
      </c>
      <c r="H30" s="13"/>
      <c r="I30" s="21"/>
      <c r="J30" s="21"/>
      <c r="K30" s="36">
        <v>14</v>
      </c>
      <c r="N30" s="3"/>
      <c r="O30" s="3"/>
    </row>
    <row r="31" spans="1:15" x14ac:dyDescent="0.25">
      <c r="A31" s="8" t="s">
        <v>7</v>
      </c>
      <c r="B31" s="8">
        <v>44595</v>
      </c>
      <c r="C31" s="9">
        <v>0.13</v>
      </c>
      <c r="D31" s="10">
        <f t="shared" ca="1" si="0"/>
        <v>101.0224620924724</v>
      </c>
      <c r="E31" s="11">
        <f>+E30*(1+C30*F31/365)</f>
        <v>101.0224620924724</v>
      </c>
      <c r="F31" s="12">
        <f t="shared" si="1"/>
        <v>1</v>
      </c>
      <c r="G31" s="20">
        <f t="shared" ca="1" si="2"/>
        <v>0.13011911250481464</v>
      </c>
      <c r="H31" s="13"/>
      <c r="I31" s="13"/>
      <c r="J31" s="13"/>
      <c r="K31" s="36">
        <v>14</v>
      </c>
      <c r="N31" s="3"/>
      <c r="O31" s="3"/>
    </row>
    <row r="32" spans="1:15" x14ac:dyDescent="0.25">
      <c r="A32" s="8" t="s">
        <v>7</v>
      </c>
      <c r="B32" s="8">
        <v>44596</v>
      </c>
      <c r="C32" s="9">
        <v>0.12971874999999999</v>
      </c>
      <c r="D32" s="10">
        <f t="shared" ca="1" si="0"/>
        <v>101.05844269540944</v>
      </c>
      <c r="E32" s="11">
        <f>+E31*(1+C31*F32/365)</f>
        <v>101.05844269540944</v>
      </c>
      <c r="F32" s="12">
        <f t="shared" si="1"/>
        <v>1</v>
      </c>
      <c r="G32" s="20">
        <f t="shared" ca="1" si="2"/>
        <v>0.13011911250481464</v>
      </c>
      <c r="H32" s="20">
        <f t="shared" ref="H32:H95" ca="1" si="3">($D32/OFFSET($D32,-30,0)-1)*365/30</f>
        <v>0.12877719460814915</v>
      </c>
      <c r="I32" s="13"/>
      <c r="J32" s="13"/>
      <c r="K32" s="36">
        <v>14</v>
      </c>
      <c r="N32" s="3"/>
      <c r="O32" s="3"/>
    </row>
    <row r="33" spans="1:15" x14ac:dyDescent="0.25">
      <c r="A33" s="14" t="s">
        <v>6</v>
      </c>
      <c r="B33" s="14">
        <v>44597</v>
      </c>
      <c r="C33" s="15">
        <v>0.12971874999999999</v>
      </c>
      <c r="D33" s="16">
        <f t="shared" ca="1" si="0"/>
        <v>101.09435824298039</v>
      </c>
      <c r="E33" s="17">
        <f>+E32*(1+C32*F33/365)</f>
        <v>101.09435824298039</v>
      </c>
      <c r="F33" s="18">
        <f t="shared" si="1"/>
        <v>1</v>
      </c>
      <c r="G33" s="15">
        <f t="shared" ca="1" si="2"/>
        <v>0.13007884801115144</v>
      </c>
      <c r="H33" s="15">
        <f t="shared" ca="1" si="3"/>
        <v>0.12876772375232712</v>
      </c>
      <c r="I33" s="19"/>
      <c r="J33" s="19"/>
      <c r="K33" s="36">
        <v>14</v>
      </c>
      <c r="N33" s="3"/>
      <c r="O33" s="3"/>
    </row>
    <row r="34" spans="1:15" x14ac:dyDescent="0.25">
      <c r="A34" s="14" t="s">
        <v>6</v>
      </c>
      <c r="B34" s="14">
        <v>44598</v>
      </c>
      <c r="C34" s="15">
        <v>0.12971874999999999</v>
      </c>
      <c r="D34" s="16">
        <f t="shared" ca="1" si="0"/>
        <v>101.13027379055133</v>
      </c>
      <c r="E34" s="17">
        <f>+E32*(1+C33*F34/365)</f>
        <v>101.13027379055133</v>
      </c>
      <c r="F34" s="18">
        <f t="shared" si="1"/>
        <v>2</v>
      </c>
      <c r="G34" s="15">
        <f t="shared" ca="1" si="2"/>
        <v>0.1300386121786255</v>
      </c>
      <c r="H34" s="15">
        <f t="shared" ca="1" si="3"/>
        <v>0.12875670103612255</v>
      </c>
      <c r="I34" s="19"/>
      <c r="J34" s="19"/>
      <c r="K34" s="36">
        <v>14</v>
      </c>
      <c r="N34" s="3"/>
      <c r="O34" s="3"/>
    </row>
    <row r="35" spans="1:15" x14ac:dyDescent="0.25">
      <c r="A35" s="8" t="s">
        <v>7</v>
      </c>
      <c r="B35" s="8">
        <v>44599</v>
      </c>
      <c r="C35" s="9">
        <v>0.125</v>
      </c>
      <c r="D35" s="10">
        <f t="shared" ca="1" si="0"/>
        <v>101.16618933812228</v>
      </c>
      <c r="E35" s="11">
        <f>+E32*(1+C34*F35/365)</f>
        <v>101.16618933812228</v>
      </c>
      <c r="F35" s="12">
        <f t="shared" si="1"/>
        <v>3</v>
      </c>
      <c r="G35" s="20">
        <f t="shared" ca="1" si="2"/>
        <v>0.12999840497664766</v>
      </c>
      <c r="H35" s="20">
        <f t="shared" ca="1" si="3"/>
        <v>0.12874412756578477</v>
      </c>
      <c r="I35" s="13"/>
      <c r="J35" s="13"/>
      <c r="K35" s="36">
        <v>14</v>
      </c>
      <c r="N35" s="3"/>
      <c r="O35" s="3"/>
    </row>
    <row r="36" spans="1:15" x14ac:dyDescent="0.25">
      <c r="A36" s="8" t="s">
        <v>7</v>
      </c>
      <c r="B36" s="8">
        <v>44600</v>
      </c>
      <c r="C36" s="9">
        <v>0.12794374999999999</v>
      </c>
      <c r="D36" s="10">
        <f t="shared" ca="1" si="0"/>
        <v>101.20083529337505</v>
      </c>
      <c r="E36" s="11">
        <f>+E35*(1+C35*F36/365)</f>
        <v>101.20083529337505</v>
      </c>
      <c r="F36" s="12">
        <f t="shared" si="1"/>
        <v>1</v>
      </c>
      <c r="G36" s="20">
        <f t="shared" ca="1" si="2"/>
        <v>0.12928259340887785</v>
      </c>
      <c r="H36" s="20">
        <f t="shared" ca="1" si="3"/>
        <v>0.12859141070006394</v>
      </c>
      <c r="I36" s="13"/>
      <c r="J36" s="13"/>
      <c r="K36" s="36">
        <v>14</v>
      </c>
      <c r="N36" s="3"/>
      <c r="O36" s="3"/>
    </row>
    <row r="37" spans="1:15" x14ac:dyDescent="0.25">
      <c r="A37" s="8" t="s">
        <v>7</v>
      </c>
      <c r="B37" s="8">
        <v>44601</v>
      </c>
      <c r="C37" s="9">
        <v>0.12794374999999999</v>
      </c>
      <c r="D37" s="10">
        <f t="shared" ca="1" si="0"/>
        <v>101.23630930534921</v>
      </c>
      <c r="E37" s="11">
        <f>+E36*(1+C36*F37/365)</f>
        <v>101.23630930534921</v>
      </c>
      <c r="F37" s="12">
        <f t="shared" si="1"/>
        <v>1</v>
      </c>
      <c r="G37" s="20">
        <f t="shared" ca="1" si="2"/>
        <v>0.12898821993277171</v>
      </c>
      <c r="H37" s="20">
        <f t="shared" ca="1" si="3"/>
        <v>0.12853937010216668</v>
      </c>
      <c r="I37" s="13"/>
      <c r="J37" s="13"/>
      <c r="K37" s="36">
        <v>14</v>
      </c>
      <c r="N37" s="3"/>
      <c r="O37" s="3"/>
    </row>
    <row r="38" spans="1:15" x14ac:dyDescent="0.25">
      <c r="A38" s="8" t="s">
        <v>7</v>
      </c>
      <c r="B38" s="8">
        <v>44602</v>
      </c>
      <c r="C38" s="9">
        <v>0.13</v>
      </c>
      <c r="D38" s="10">
        <f t="shared" ca="1" si="0"/>
        <v>101.27179575205794</v>
      </c>
      <c r="E38" s="11">
        <f>+E37*(1+C37*F38/365)</f>
        <v>101.27179575205794</v>
      </c>
      <c r="F38" s="12">
        <f t="shared" si="1"/>
        <v>1</v>
      </c>
      <c r="G38" s="20">
        <f t="shared" ca="1" si="2"/>
        <v>0.12869384811443255</v>
      </c>
      <c r="H38" s="20">
        <f t="shared" ca="1" si="3"/>
        <v>0.12847012896226137</v>
      </c>
      <c r="I38" s="13"/>
      <c r="J38" s="13"/>
      <c r="K38" s="36">
        <v>14</v>
      </c>
      <c r="N38" s="3"/>
      <c r="O38" s="3"/>
    </row>
    <row r="39" spans="1:15" x14ac:dyDescent="0.25">
      <c r="A39" s="8" t="s">
        <v>7</v>
      </c>
      <c r="B39" s="8">
        <v>44603</v>
      </c>
      <c r="C39" s="9">
        <v>0.12864224137931035</v>
      </c>
      <c r="D39" s="10">
        <f t="shared" ca="1" si="0"/>
        <v>101.30786515876416</v>
      </c>
      <c r="E39" s="11">
        <f>+E38*(1+C38*F39/365)</f>
        <v>101.30786515876416</v>
      </c>
      <c r="F39" s="12">
        <f t="shared" si="1"/>
        <v>1</v>
      </c>
      <c r="G39" s="20">
        <f t="shared" ca="1" si="2"/>
        <v>0.12869384811443255</v>
      </c>
      <c r="H39" s="20">
        <f t="shared" ca="1" si="3"/>
        <v>0.12851273794532481</v>
      </c>
      <c r="I39" s="13"/>
      <c r="J39" s="13"/>
      <c r="K39" s="36">
        <v>14</v>
      </c>
      <c r="N39" s="3"/>
      <c r="O39" s="3"/>
    </row>
    <row r="40" spans="1:15" x14ac:dyDescent="0.25">
      <c r="A40" s="14" t="s">
        <v>6</v>
      </c>
      <c r="B40" s="14">
        <v>44604</v>
      </c>
      <c r="C40" s="15">
        <v>0.12864224137931035</v>
      </c>
      <c r="D40" s="16">
        <f t="shared" ca="1" si="0"/>
        <v>101.34357055833506</v>
      </c>
      <c r="E40" s="17">
        <f>+E39*(1+C39*F40/365)</f>
        <v>101.34357055833506</v>
      </c>
      <c r="F40" s="18">
        <f t="shared" si="1"/>
        <v>1</v>
      </c>
      <c r="G40" s="15">
        <f t="shared" ca="1" si="2"/>
        <v>0.12853973637724669</v>
      </c>
      <c r="H40" s="15">
        <f t="shared" ca="1" si="3"/>
        <v>0.12876085341279944</v>
      </c>
      <c r="I40" s="19"/>
      <c r="J40" s="19"/>
      <c r="K40" s="36">
        <v>14</v>
      </c>
      <c r="N40" s="3"/>
      <c r="O40" s="3"/>
    </row>
    <row r="41" spans="1:15" x14ac:dyDescent="0.25">
      <c r="A41" s="14" t="s">
        <v>6</v>
      </c>
      <c r="B41" s="14">
        <v>44605</v>
      </c>
      <c r="C41" s="15">
        <v>0.12864224137931035</v>
      </c>
      <c r="D41" s="16">
        <f t="shared" ca="1" si="0"/>
        <v>101.37927595790595</v>
      </c>
      <c r="E41" s="17">
        <f>+E39*(1+C40*F41/365)</f>
        <v>101.37927595790595</v>
      </c>
      <c r="F41" s="18">
        <f t="shared" si="1"/>
        <v>2</v>
      </c>
      <c r="G41" s="15">
        <f t="shared" ca="1" si="2"/>
        <v>0.12838573410296231</v>
      </c>
      <c r="H41" s="15">
        <f t="shared" ca="1" si="3"/>
        <v>0.12904567770510966</v>
      </c>
      <c r="I41" s="19"/>
      <c r="J41" s="19"/>
      <c r="K41" s="36">
        <v>14</v>
      </c>
      <c r="N41" s="3"/>
      <c r="O41" s="3"/>
    </row>
    <row r="42" spans="1:15" x14ac:dyDescent="0.25">
      <c r="A42" s="8" t="s">
        <v>7</v>
      </c>
      <c r="B42" s="8">
        <v>44606</v>
      </c>
      <c r="C42" s="9">
        <v>0.1289616935483871</v>
      </c>
      <c r="D42" s="10">
        <f t="shared" ca="1" si="0"/>
        <v>101.41498135747685</v>
      </c>
      <c r="E42" s="11">
        <f>+E39*(1+C41*F42/365)</f>
        <v>101.41498135747685</v>
      </c>
      <c r="F42" s="12">
        <f t="shared" si="1"/>
        <v>3</v>
      </c>
      <c r="G42" s="20">
        <f t="shared" ca="1" si="2"/>
        <v>0.1282318411750232</v>
      </c>
      <c r="H42" s="20">
        <f t="shared" ca="1" si="3"/>
        <v>0.12926304552546478</v>
      </c>
      <c r="I42" s="13"/>
      <c r="J42" s="13"/>
      <c r="K42" s="36">
        <v>14</v>
      </c>
      <c r="N42" s="3"/>
      <c r="O42" s="3"/>
    </row>
    <row r="43" spans="1:15" x14ac:dyDescent="0.25">
      <c r="A43" s="8" t="s">
        <v>7</v>
      </c>
      <c r="B43" s="8">
        <v>44607</v>
      </c>
      <c r="C43" s="9">
        <v>0.13</v>
      </c>
      <c r="D43" s="10">
        <f t="shared" ca="1" si="0"/>
        <v>101.45081326911257</v>
      </c>
      <c r="E43" s="11">
        <f>+E42*(1+C42*F43/365)</f>
        <v>101.45081326911257</v>
      </c>
      <c r="F43" s="12">
        <f t="shared" si="1"/>
        <v>1</v>
      </c>
      <c r="G43" s="20">
        <f t="shared" ca="1" si="2"/>
        <v>0.12879899498809663</v>
      </c>
      <c r="H43" s="20">
        <f t="shared" ca="1" si="3"/>
        <v>0.1294956016846894</v>
      </c>
      <c r="I43" s="13"/>
      <c r="J43" s="13"/>
      <c r="K43" s="36">
        <v>14</v>
      </c>
      <c r="N43" s="3"/>
      <c r="O43" s="3"/>
    </row>
    <row r="44" spans="1:15" x14ac:dyDescent="0.25">
      <c r="A44" s="8" t="s">
        <v>7</v>
      </c>
      <c r="B44" s="8">
        <v>44608</v>
      </c>
      <c r="C44" s="9">
        <v>0.125</v>
      </c>
      <c r="D44" s="10">
        <f t="shared" ca="1" si="0"/>
        <v>101.48694643548239</v>
      </c>
      <c r="E44" s="11">
        <f>+E43*(1+C43*F44/365)</f>
        <v>101.48694643548239</v>
      </c>
      <c r="F44" s="12">
        <f t="shared" si="1"/>
        <v>1</v>
      </c>
      <c r="G44" s="20">
        <f t="shared" ca="1" si="2"/>
        <v>0.12909336739857152</v>
      </c>
      <c r="H44" s="20">
        <f t="shared" ca="1" si="3"/>
        <v>0.12976450324743607</v>
      </c>
      <c r="I44" s="13"/>
      <c r="J44" s="13"/>
      <c r="K44" s="36">
        <v>14</v>
      </c>
      <c r="N44" s="3"/>
      <c r="O44" s="3"/>
    </row>
    <row r="45" spans="1:15" x14ac:dyDescent="0.25">
      <c r="A45" s="8" t="s">
        <v>7</v>
      </c>
      <c r="B45" s="8">
        <v>44609</v>
      </c>
      <c r="C45" s="9">
        <v>0.13</v>
      </c>
      <c r="D45" s="10">
        <f t="shared" ca="1" si="0"/>
        <v>101.52170223905618</v>
      </c>
      <c r="E45" s="11">
        <f>+E44*(1+C44*F45/365)</f>
        <v>101.52170223905618</v>
      </c>
      <c r="F45" s="12">
        <f t="shared" si="1"/>
        <v>1</v>
      </c>
      <c r="G45" s="20">
        <f t="shared" ca="1" si="2"/>
        <v>0.12867193826132931</v>
      </c>
      <c r="H45" s="20">
        <f t="shared" ca="1" si="3"/>
        <v>0.12977558132293762</v>
      </c>
      <c r="I45" s="13"/>
      <c r="J45" s="13"/>
      <c r="K45" s="36">
        <v>14</v>
      </c>
      <c r="N45" s="3"/>
      <c r="O45" s="3"/>
    </row>
    <row r="46" spans="1:15" x14ac:dyDescent="0.25">
      <c r="A46" s="8" t="s">
        <v>7</v>
      </c>
      <c r="B46" s="8">
        <v>44610</v>
      </c>
      <c r="C46" s="9">
        <v>0.13</v>
      </c>
      <c r="D46" s="10">
        <f t="shared" ca="1" si="0"/>
        <v>101.55786065355228</v>
      </c>
      <c r="E46" s="11">
        <f>+E45*(1+C45*F46/365)</f>
        <v>101.55786065355228</v>
      </c>
      <c r="F46" s="12">
        <f t="shared" si="1"/>
        <v>1</v>
      </c>
      <c r="G46" s="20">
        <f t="shared" ca="1" si="2"/>
        <v>0.12867193826132931</v>
      </c>
      <c r="H46" s="20">
        <f t="shared" ca="1" si="3"/>
        <v>0.12994396807060243</v>
      </c>
      <c r="I46" s="13"/>
      <c r="J46" s="13"/>
      <c r="K46" s="36">
        <v>14</v>
      </c>
      <c r="N46" s="3"/>
      <c r="O46" s="3"/>
    </row>
    <row r="47" spans="1:15" x14ac:dyDescent="0.25">
      <c r="A47" s="14" t="s">
        <v>6</v>
      </c>
      <c r="B47" s="14">
        <v>44611</v>
      </c>
      <c r="C47" s="15">
        <v>0.13</v>
      </c>
      <c r="D47" s="16">
        <f t="shared" ca="1" si="0"/>
        <v>101.5940319463878</v>
      </c>
      <c r="E47" s="17">
        <f>+E46*(1+C46*F47/365)</f>
        <v>101.5940319463878</v>
      </c>
      <c r="F47" s="18">
        <f t="shared" si="1"/>
        <v>1</v>
      </c>
      <c r="G47" s="15">
        <f t="shared" ca="1" si="2"/>
        <v>0.12886631391695816</v>
      </c>
      <c r="H47" s="15">
        <f t="shared" ca="1" si="3"/>
        <v>0.1299791677048201</v>
      </c>
      <c r="I47" s="19"/>
      <c r="J47" s="19"/>
      <c r="K47" s="36">
        <v>14</v>
      </c>
      <c r="N47" s="3"/>
      <c r="O47" s="3"/>
    </row>
    <row r="48" spans="1:15" x14ac:dyDescent="0.25">
      <c r="A48" s="14" t="s">
        <v>6</v>
      </c>
      <c r="B48" s="14">
        <v>44612</v>
      </c>
      <c r="C48" s="15">
        <v>0.13</v>
      </c>
      <c r="D48" s="16">
        <f t="shared" ca="1" si="0"/>
        <v>101.63020323922331</v>
      </c>
      <c r="E48" s="17">
        <f>+E46*(1+C47*F48/365)</f>
        <v>101.63020323922331</v>
      </c>
      <c r="F48" s="18">
        <f t="shared" si="1"/>
        <v>2</v>
      </c>
      <c r="G48" s="15">
        <f t="shared" ca="1" si="2"/>
        <v>0.12906055265584843</v>
      </c>
      <c r="H48" s="15">
        <f t="shared" ca="1" si="3"/>
        <v>0.12997760894811228</v>
      </c>
      <c r="I48" s="19"/>
      <c r="J48" s="19"/>
      <c r="K48" s="36">
        <v>14</v>
      </c>
      <c r="N48" s="3"/>
      <c r="O48" s="3"/>
    </row>
    <row r="49" spans="1:15" x14ac:dyDescent="0.25">
      <c r="A49" s="8" t="s">
        <v>7</v>
      </c>
      <c r="B49" s="8">
        <v>44613</v>
      </c>
      <c r="C49" s="9">
        <v>0.13</v>
      </c>
      <c r="D49" s="10">
        <f t="shared" ca="1" si="0"/>
        <v>101.66637453205882</v>
      </c>
      <c r="E49" s="11">
        <f>+E46*(1+C48*F49/365)</f>
        <v>101.66637453205882</v>
      </c>
      <c r="F49" s="12">
        <f t="shared" si="1"/>
        <v>3</v>
      </c>
      <c r="G49" s="20">
        <f t="shared" ca="1" si="2"/>
        <v>0.12925465462259828</v>
      </c>
      <c r="H49" s="20">
        <f t="shared" ca="1" si="3"/>
        <v>0.12997449254465246</v>
      </c>
      <c r="I49" s="13"/>
      <c r="J49" s="13"/>
      <c r="K49" s="36">
        <v>14</v>
      </c>
      <c r="N49" s="3"/>
      <c r="O49" s="3"/>
    </row>
    <row r="50" spans="1:15" x14ac:dyDescent="0.25">
      <c r="A50" s="8" t="s">
        <v>7</v>
      </c>
      <c r="B50" s="8">
        <v>44614</v>
      </c>
      <c r="C50" s="9">
        <v>0.1296045918367347</v>
      </c>
      <c r="D50" s="10">
        <f t="shared" ca="1" si="0"/>
        <v>101.70258447367299</v>
      </c>
      <c r="E50" s="11">
        <f>+E49*(1+C49*F50/365)</f>
        <v>101.70258447367299</v>
      </c>
      <c r="F50" s="12">
        <f t="shared" si="1"/>
        <v>1</v>
      </c>
      <c r="G50" s="20">
        <f t="shared" ca="1" si="2"/>
        <v>0.1294032992841059</v>
      </c>
      <c r="H50" s="20">
        <f t="shared" ca="1" si="3"/>
        <v>0.12997605130096315</v>
      </c>
      <c r="I50" s="13"/>
      <c r="J50" s="13"/>
      <c r="K50" s="36">
        <v>14</v>
      </c>
      <c r="N50" s="3"/>
      <c r="O50" s="3"/>
    </row>
    <row r="51" spans="1:15" x14ac:dyDescent="0.25">
      <c r="A51" s="8" t="s">
        <v>7</v>
      </c>
      <c r="B51" s="8">
        <v>44615</v>
      </c>
      <c r="C51" s="9">
        <v>0.13</v>
      </c>
      <c r="D51" s="10">
        <f t="shared" ca="1" si="0"/>
        <v>101.7386971365482</v>
      </c>
      <c r="E51" s="11">
        <f>+E50*(1+C50*F51/365)</f>
        <v>101.7386971365482</v>
      </c>
      <c r="F51" s="12">
        <f t="shared" si="1"/>
        <v>1</v>
      </c>
      <c r="G51" s="20">
        <f t="shared" ca="1" si="2"/>
        <v>0.12934669238110233</v>
      </c>
      <c r="H51" s="20">
        <f t="shared" ca="1" si="3"/>
        <v>0.12996585136777913</v>
      </c>
      <c r="I51" s="13"/>
      <c r="J51" s="13"/>
      <c r="K51" s="36">
        <v>14</v>
      </c>
      <c r="N51" s="3"/>
      <c r="O51" s="3"/>
    </row>
    <row r="52" spans="1:15" x14ac:dyDescent="0.25">
      <c r="A52" s="8" t="s">
        <v>7</v>
      </c>
      <c r="B52" s="8">
        <v>44616</v>
      </c>
      <c r="C52" s="9">
        <v>0.13</v>
      </c>
      <c r="D52" s="10">
        <f t="shared" ca="1" si="0"/>
        <v>101.7749328368982</v>
      </c>
      <c r="E52" s="11">
        <f>+E51*(1+C51*F52/365)</f>
        <v>101.7749328368982</v>
      </c>
      <c r="F52" s="12">
        <f t="shared" si="1"/>
        <v>1</v>
      </c>
      <c r="G52" s="20">
        <f t="shared" ca="1" si="2"/>
        <v>0.13006250482664969</v>
      </c>
      <c r="H52" s="20">
        <f t="shared" ca="1" si="3"/>
        <v>0.12996585136777913</v>
      </c>
      <c r="I52" s="13"/>
      <c r="J52" s="13"/>
      <c r="K52" s="36">
        <v>14</v>
      </c>
      <c r="N52" s="3"/>
      <c r="O52" s="3"/>
    </row>
    <row r="53" spans="1:15" x14ac:dyDescent="0.25">
      <c r="A53" s="8" t="s">
        <v>7</v>
      </c>
      <c r="B53" s="8">
        <v>44617</v>
      </c>
      <c r="C53" s="9">
        <v>0.13</v>
      </c>
      <c r="D53" s="10">
        <f t="shared" ca="1" si="0"/>
        <v>101.81118144311408</v>
      </c>
      <c r="E53" s="11">
        <f>+E52*(1+C52*F53/365)</f>
        <v>101.81118144311408</v>
      </c>
      <c r="F53" s="12">
        <f t="shared" si="1"/>
        <v>1</v>
      </c>
      <c r="G53" s="20">
        <f t="shared" ca="1" si="2"/>
        <v>0.13006250482664969</v>
      </c>
      <c r="H53" s="20">
        <f t="shared" ca="1" si="3"/>
        <v>0.12996585136777644</v>
      </c>
      <c r="I53" s="13"/>
      <c r="J53" s="13"/>
      <c r="K53" s="36">
        <v>14</v>
      </c>
      <c r="N53" s="3"/>
      <c r="O53" s="3"/>
    </row>
    <row r="54" spans="1:15" x14ac:dyDescent="0.25">
      <c r="A54" s="14" t="s">
        <v>6</v>
      </c>
      <c r="B54" s="14">
        <v>44618</v>
      </c>
      <c r="C54" s="15">
        <v>0.13</v>
      </c>
      <c r="D54" s="16">
        <f t="shared" ca="1" si="0"/>
        <v>101.84744295979245</v>
      </c>
      <c r="E54" s="17">
        <f>+E53*(1+C53*F54/365)</f>
        <v>101.84744295979245</v>
      </c>
      <c r="F54" s="18">
        <f t="shared" si="1"/>
        <v>1</v>
      </c>
      <c r="G54" s="15">
        <f t="shared" ca="1" si="2"/>
        <v>0.13006250482663811</v>
      </c>
      <c r="H54" s="15">
        <f t="shared" ca="1" si="3"/>
        <v>0.12996585136777644</v>
      </c>
      <c r="I54" s="19"/>
      <c r="J54" s="19"/>
      <c r="K54" s="36">
        <v>14</v>
      </c>
      <c r="N54" s="3"/>
      <c r="O54" s="3"/>
    </row>
    <row r="55" spans="1:15" x14ac:dyDescent="0.25">
      <c r="A55" s="14" t="s">
        <v>6</v>
      </c>
      <c r="B55" s="14">
        <v>44619</v>
      </c>
      <c r="C55" s="15">
        <v>0.13</v>
      </c>
      <c r="D55" s="16">
        <f t="shared" ca="1" si="0"/>
        <v>101.88370447647083</v>
      </c>
      <c r="E55" s="17">
        <f>+E53*(1+C54*F55/365)</f>
        <v>101.88370447647083</v>
      </c>
      <c r="F55" s="18">
        <f t="shared" si="1"/>
        <v>2</v>
      </c>
      <c r="G55" s="15">
        <f t="shared" ca="1" si="2"/>
        <v>0.13006250482664969</v>
      </c>
      <c r="H55" s="15">
        <f t="shared" ca="1" si="3"/>
        <v>0.12996429261275705</v>
      </c>
      <c r="I55" s="19"/>
      <c r="J55" s="19"/>
      <c r="K55" s="36">
        <v>14</v>
      </c>
      <c r="N55" s="3"/>
      <c r="O55" s="3"/>
    </row>
    <row r="56" spans="1:15" x14ac:dyDescent="0.25">
      <c r="A56" s="8" t="s">
        <v>7</v>
      </c>
      <c r="B56" s="8">
        <v>44620</v>
      </c>
      <c r="C56" s="9">
        <v>0.13</v>
      </c>
      <c r="D56" s="10">
        <f t="shared" ca="1" si="0"/>
        <v>101.91996599314919</v>
      </c>
      <c r="E56" s="11">
        <f>+E53*(1+C55*F56/365)</f>
        <v>101.91996599314919</v>
      </c>
      <c r="F56" s="12">
        <f t="shared" si="1"/>
        <v>3</v>
      </c>
      <c r="G56" s="20">
        <f t="shared" ca="1" si="2"/>
        <v>0.13006250482664969</v>
      </c>
      <c r="H56" s="20">
        <f t="shared" ca="1" si="3"/>
        <v>0.12996117621267148</v>
      </c>
      <c r="I56" s="13"/>
      <c r="J56" s="13"/>
      <c r="K56" s="36">
        <v>14</v>
      </c>
      <c r="N56" s="3"/>
      <c r="O56" s="3"/>
    </row>
    <row r="57" spans="1:15" x14ac:dyDescent="0.25">
      <c r="A57" s="8" t="s">
        <v>7</v>
      </c>
      <c r="B57" s="8">
        <v>44621</v>
      </c>
      <c r="C57" s="9">
        <v>0.13</v>
      </c>
      <c r="D57" s="10">
        <f t="shared" ca="1" si="0"/>
        <v>101.95626625500977</v>
      </c>
      <c r="E57" s="11">
        <f>+E56*(1+C56*F57/365)</f>
        <v>101.95626625500977</v>
      </c>
      <c r="F57" s="12">
        <f t="shared" si="1"/>
        <v>1</v>
      </c>
      <c r="G57" s="20">
        <f t="shared" ca="1" si="2"/>
        <v>0.13006250482664969</v>
      </c>
      <c r="H57" s="20">
        <f t="shared" ca="1" si="3"/>
        <v>0.12996273496729371</v>
      </c>
      <c r="I57" s="13"/>
      <c r="J57" s="13"/>
      <c r="K57" s="36">
        <v>14</v>
      </c>
      <c r="N57" s="3"/>
      <c r="O57" s="3"/>
    </row>
    <row r="58" spans="1:15" x14ac:dyDescent="0.25">
      <c r="A58" s="8" t="s">
        <v>7</v>
      </c>
      <c r="B58" s="8">
        <v>44622</v>
      </c>
      <c r="C58" s="9">
        <v>0.13</v>
      </c>
      <c r="D58" s="10">
        <f t="shared" ca="1" si="0"/>
        <v>101.99257944573073</v>
      </c>
      <c r="E58" s="11">
        <f>+E57*(1+C57*F58/365)</f>
        <v>101.99257944573073</v>
      </c>
      <c r="F58" s="12">
        <f t="shared" si="1"/>
        <v>1</v>
      </c>
      <c r="G58" s="20">
        <f t="shared" ca="1" si="2"/>
        <v>0.13011911250481464</v>
      </c>
      <c r="H58" s="20">
        <f t="shared" ca="1" si="3"/>
        <v>0.12996585136777644</v>
      </c>
      <c r="I58" s="13"/>
      <c r="J58" s="13"/>
      <c r="K58" s="36">
        <v>14</v>
      </c>
      <c r="N58" s="3"/>
      <c r="O58" s="3"/>
    </row>
    <row r="59" spans="1:15" x14ac:dyDescent="0.25">
      <c r="A59" s="8" t="s">
        <v>7</v>
      </c>
      <c r="B59" s="8">
        <v>44623</v>
      </c>
      <c r="C59" s="9">
        <v>0.13</v>
      </c>
      <c r="D59" s="10">
        <f t="shared" ca="1" si="0"/>
        <v>102.02890556991689</v>
      </c>
      <c r="E59" s="11">
        <f>+E58*(1+C58*F59/365)</f>
        <v>102.02890556991689</v>
      </c>
      <c r="F59" s="12">
        <f t="shared" si="1"/>
        <v>1</v>
      </c>
      <c r="G59" s="20">
        <f t="shared" ca="1" si="2"/>
        <v>0.13011911250481464</v>
      </c>
      <c r="H59" s="20">
        <f t="shared" ca="1" si="3"/>
        <v>0.12996585136777644</v>
      </c>
      <c r="I59" s="13"/>
      <c r="J59" s="13"/>
      <c r="K59" s="36">
        <v>14</v>
      </c>
      <c r="N59" s="3"/>
      <c r="O59" s="3"/>
    </row>
    <row r="60" spans="1:15" x14ac:dyDescent="0.25">
      <c r="A60" s="8" t="s">
        <v>7</v>
      </c>
      <c r="B60" s="8">
        <v>44624</v>
      </c>
      <c r="C60" s="9">
        <v>0.13</v>
      </c>
      <c r="D60" s="10">
        <f t="shared" ca="1" si="0"/>
        <v>102.06524463217467</v>
      </c>
      <c r="E60" s="11">
        <f>+E59*(1+C59*F60/365)</f>
        <v>102.06524463217467</v>
      </c>
      <c r="F60" s="12">
        <f t="shared" si="1"/>
        <v>1</v>
      </c>
      <c r="G60" s="20">
        <f t="shared" ca="1" si="2"/>
        <v>0.13011911250481464</v>
      </c>
      <c r="H60" s="20">
        <f t="shared" ca="1" si="3"/>
        <v>0.12996585136777644</v>
      </c>
      <c r="I60" s="13"/>
      <c r="J60" s="13"/>
      <c r="K60" s="36">
        <v>14</v>
      </c>
      <c r="N60" s="3"/>
      <c r="O60" s="3"/>
    </row>
    <row r="61" spans="1:15" x14ac:dyDescent="0.25">
      <c r="A61" s="14" t="s">
        <v>6</v>
      </c>
      <c r="B61" s="14">
        <v>44625</v>
      </c>
      <c r="C61" s="15">
        <v>0.13</v>
      </c>
      <c r="D61" s="16">
        <f t="shared" ca="1" si="0"/>
        <v>102.10159663711215</v>
      </c>
      <c r="E61" s="17">
        <f>+E60*(1+C60*F61/365)</f>
        <v>102.10159663711215</v>
      </c>
      <c r="F61" s="18">
        <f t="shared" si="1"/>
        <v>1</v>
      </c>
      <c r="G61" s="15">
        <f t="shared" ca="1" si="2"/>
        <v>0.13011911250481464</v>
      </c>
      <c r="H61" s="15">
        <f t="shared" ca="1" si="3"/>
        <v>0.12996585136777644</v>
      </c>
      <c r="I61" s="19"/>
      <c r="J61" s="19"/>
      <c r="K61" s="36">
        <v>14</v>
      </c>
      <c r="N61" s="3"/>
      <c r="O61" s="3"/>
    </row>
    <row r="62" spans="1:15" x14ac:dyDescent="0.25">
      <c r="A62" s="14" t="s">
        <v>6</v>
      </c>
      <c r="B62" s="14">
        <v>44626</v>
      </c>
      <c r="C62" s="15">
        <v>0.13</v>
      </c>
      <c r="D62" s="16">
        <f t="shared" ca="1" si="0"/>
        <v>102.13794864204965</v>
      </c>
      <c r="E62" s="17">
        <f>+E60*(1+C61*F62/365)</f>
        <v>102.13794864204965</v>
      </c>
      <c r="F62" s="18">
        <f t="shared" si="1"/>
        <v>2</v>
      </c>
      <c r="G62" s="15">
        <f t="shared" ca="1" si="2"/>
        <v>0.13011911250481464</v>
      </c>
      <c r="H62" s="15">
        <f t="shared" ca="1" si="3"/>
        <v>0.12996429261275977</v>
      </c>
      <c r="I62" s="19"/>
      <c r="J62" s="19"/>
      <c r="K62" s="36">
        <v>14</v>
      </c>
      <c r="N62" s="3"/>
      <c r="O62" s="3"/>
    </row>
    <row r="63" spans="1:15" x14ac:dyDescent="0.25">
      <c r="A63" s="8" t="s">
        <v>7</v>
      </c>
      <c r="B63" s="8">
        <v>44627</v>
      </c>
      <c r="C63" s="9">
        <v>0.13</v>
      </c>
      <c r="D63" s="10">
        <f t="shared" ca="1" si="0"/>
        <v>102.17430064698713</v>
      </c>
      <c r="E63" s="11">
        <f>+E60*(1+C62*F63/365)</f>
        <v>102.17430064698713</v>
      </c>
      <c r="F63" s="12">
        <f t="shared" si="1"/>
        <v>3</v>
      </c>
      <c r="G63" s="20">
        <f t="shared" ca="1" si="2"/>
        <v>0.13011911250481464</v>
      </c>
      <c r="H63" s="20">
        <f t="shared" ca="1" si="3"/>
        <v>0.12997064798777719</v>
      </c>
      <c r="I63" s="13"/>
      <c r="J63" s="13"/>
      <c r="K63" s="36">
        <v>14</v>
      </c>
      <c r="N63" s="3"/>
      <c r="O63" s="3"/>
    </row>
    <row r="64" spans="1:15" x14ac:dyDescent="0.25">
      <c r="A64" s="14" t="s">
        <v>6</v>
      </c>
      <c r="B64" s="14">
        <v>44628</v>
      </c>
      <c r="C64" s="15">
        <v>0.13</v>
      </c>
      <c r="D64" s="16">
        <f t="shared" ca="1" si="0"/>
        <v>102.21069149379291</v>
      </c>
      <c r="E64" s="17">
        <f>+E63*(1+C63*F64/365)</f>
        <v>102.21069149379291</v>
      </c>
      <c r="F64" s="18">
        <f t="shared" si="1"/>
        <v>1</v>
      </c>
      <c r="G64" s="15">
        <f t="shared" ca="1" si="2"/>
        <v>0.13011911250481464</v>
      </c>
      <c r="H64" s="15">
        <f t="shared" ca="1" si="3"/>
        <v>0.12998167179227119</v>
      </c>
      <c r="I64" s="19"/>
      <c r="J64" s="19"/>
      <c r="K64" s="36">
        <v>14</v>
      </c>
      <c r="N64" s="3"/>
      <c r="O64" s="3"/>
    </row>
    <row r="65" spans="1:15" x14ac:dyDescent="0.25">
      <c r="A65" s="8" t="s">
        <v>7</v>
      </c>
      <c r="B65" s="8">
        <v>44629</v>
      </c>
      <c r="C65" s="9">
        <v>0.13</v>
      </c>
      <c r="D65" s="10">
        <f t="shared" ca="1" si="0"/>
        <v>102.24708234059869</v>
      </c>
      <c r="E65" s="11">
        <f>+E63*(1+C64*F65/365)</f>
        <v>102.24708234059869</v>
      </c>
      <c r="F65" s="12">
        <f t="shared" si="1"/>
        <v>2</v>
      </c>
      <c r="G65" s="20">
        <f t="shared" ca="1" si="2"/>
        <v>0.13011248623833055</v>
      </c>
      <c r="H65" s="20">
        <f t="shared" ca="1" si="3"/>
        <v>0.12999268776952344</v>
      </c>
      <c r="I65" s="13"/>
      <c r="J65" s="13"/>
      <c r="K65" s="36">
        <v>14</v>
      </c>
      <c r="N65" s="3"/>
      <c r="O65" s="3"/>
    </row>
    <row r="66" spans="1:15" x14ac:dyDescent="0.25">
      <c r="A66" s="8" t="s">
        <v>7</v>
      </c>
      <c r="B66" s="8">
        <v>44630</v>
      </c>
      <c r="C66" s="9">
        <v>0.13</v>
      </c>
      <c r="D66" s="10">
        <f t="shared" ca="1" si="0"/>
        <v>102.28349910965152</v>
      </c>
      <c r="E66" s="11">
        <f>+E65*(1+C65*F66/365)</f>
        <v>102.28349910965152</v>
      </c>
      <c r="F66" s="12">
        <f t="shared" si="1"/>
        <v>1</v>
      </c>
      <c r="G66" s="20">
        <f t="shared" ca="1" si="2"/>
        <v>0.13011248623831898</v>
      </c>
      <c r="H66" s="20">
        <f t="shared" ca="1" si="3"/>
        <v>0.13016107749023059</v>
      </c>
      <c r="I66" s="13"/>
      <c r="J66" s="13"/>
      <c r="K66" s="36">
        <v>14</v>
      </c>
      <c r="N66" s="3"/>
      <c r="O66" s="3"/>
    </row>
    <row r="67" spans="1:15" x14ac:dyDescent="0.25">
      <c r="A67" s="8" t="s">
        <v>7</v>
      </c>
      <c r="B67" s="8">
        <v>44631</v>
      </c>
      <c r="C67" s="9">
        <v>0.13</v>
      </c>
      <c r="D67" s="10">
        <f t="shared" ref="D67:D130" ca="1" si="4">+IF(F67=1,D66*(1+C66*F67/365),OFFSET(D66,-F67+1,0)*(1+C66*F67/365))</f>
        <v>102.31992884906043</v>
      </c>
      <c r="E67" s="11">
        <f>+E66*(1+C66*F67/365)</f>
        <v>102.31992884906043</v>
      </c>
      <c r="F67" s="12">
        <f t="shared" si="1"/>
        <v>1</v>
      </c>
      <c r="G67" s="20">
        <f t="shared" ca="1" si="2"/>
        <v>0.13011248623831898</v>
      </c>
      <c r="H67" s="20">
        <f t="shared" ca="1" si="3"/>
        <v>0.13023032815285782</v>
      </c>
      <c r="I67" s="13"/>
      <c r="J67" s="13"/>
      <c r="K67" s="36">
        <v>14</v>
      </c>
      <c r="N67" s="3"/>
      <c r="O67" s="3"/>
    </row>
    <row r="68" spans="1:15" x14ac:dyDescent="0.25">
      <c r="A68" s="14" t="s">
        <v>6</v>
      </c>
      <c r="B68" s="14">
        <v>44632</v>
      </c>
      <c r="C68" s="15">
        <v>0.13</v>
      </c>
      <c r="D68" s="16">
        <f t="shared" ca="1" si="4"/>
        <v>102.35637156344504</v>
      </c>
      <c r="E68" s="17">
        <f>+E67*(1+C67*F68/365)</f>
        <v>102.35637156344504</v>
      </c>
      <c r="F68" s="18">
        <f t="shared" si="1"/>
        <v>1</v>
      </c>
      <c r="G68" s="15">
        <f t="shared" ca="1" si="2"/>
        <v>0.13011248623833055</v>
      </c>
      <c r="H68" s="15">
        <f t="shared" ca="1" si="3"/>
        <v>0.13029957920547969</v>
      </c>
      <c r="I68" s="19"/>
      <c r="J68" s="19"/>
      <c r="K68" s="36">
        <v>14</v>
      </c>
      <c r="N68" s="3"/>
      <c r="O68" s="3"/>
    </row>
    <row r="69" spans="1:15" x14ac:dyDescent="0.25">
      <c r="A69" s="14" t="s">
        <v>6</v>
      </c>
      <c r="B69" s="14">
        <v>44633</v>
      </c>
      <c r="C69" s="15">
        <v>0.13</v>
      </c>
      <c r="D69" s="16">
        <f t="shared" ca="1" si="4"/>
        <v>102.39281427782963</v>
      </c>
      <c r="E69" s="17">
        <f>+E67*(1+C68*F69/365)</f>
        <v>102.39281427782963</v>
      </c>
      <c r="F69" s="18">
        <f t="shared" si="1"/>
        <v>2</v>
      </c>
      <c r="G69" s="15">
        <f t="shared" ca="1" si="2"/>
        <v>0.13011248623831898</v>
      </c>
      <c r="H69" s="15">
        <f t="shared" ca="1" si="3"/>
        <v>0.13029802040815419</v>
      </c>
      <c r="I69" s="19"/>
      <c r="J69" s="19"/>
      <c r="K69" s="36">
        <v>14</v>
      </c>
      <c r="N69" s="3"/>
      <c r="O69" s="3"/>
    </row>
    <row r="70" spans="1:15" x14ac:dyDescent="0.25">
      <c r="A70" s="8" t="s">
        <v>7</v>
      </c>
      <c r="B70" s="8">
        <v>44634</v>
      </c>
      <c r="C70" s="9">
        <v>0.13</v>
      </c>
      <c r="D70" s="10">
        <f t="shared" ca="1" si="4"/>
        <v>102.42925699221423</v>
      </c>
      <c r="E70" s="11">
        <f>+E67*(1+C69*F70/365)</f>
        <v>102.42925699221423</v>
      </c>
      <c r="F70" s="12">
        <f t="shared" si="1"/>
        <v>3</v>
      </c>
      <c r="G70" s="20">
        <f t="shared" ca="1" si="2"/>
        <v>0.13011248623833055</v>
      </c>
      <c r="H70" s="20">
        <f t="shared" ca="1" si="3"/>
        <v>0.13034063111015523</v>
      </c>
      <c r="I70" s="13"/>
      <c r="J70" s="13"/>
      <c r="K70" s="36">
        <v>14</v>
      </c>
      <c r="N70" s="3"/>
      <c r="O70" s="3"/>
    </row>
    <row r="71" spans="1:15" x14ac:dyDescent="0.25">
      <c r="A71" s="8" t="s">
        <v>7</v>
      </c>
      <c r="B71" s="8">
        <v>44635</v>
      </c>
      <c r="C71" s="9">
        <v>0.13</v>
      </c>
      <c r="D71" s="10">
        <f t="shared" ca="1" si="4"/>
        <v>102.46573864538955</v>
      </c>
      <c r="E71" s="11">
        <f>+E70*(1+C70*F71/365)</f>
        <v>102.46573864538955</v>
      </c>
      <c r="F71" s="12">
        <f t="shared" ref="F71:F134" si="5">IF(A70="Working day",1,(IF(A69="Working day",2,(IF(A68="Working day",3,IF(A67="Working day",4,IF(A66="Working day",5,6)))))))</f>
        <v>1</v>
      </c>
      <c r="G71" s="20">
        <f t="shared" ca="1" si="2"/>
        <v>0.13011248623833055</v>
      </c>
      <c r="H71" s="20">
        <f t="shared" ca="1" si="3"/>
        <v>0.13038788489545405</v>
      </c>
      <c r="I71" s="13"/>
      <c r="J71" s="13"/>
      <c r="K71" s="36">
        <v>14</v>
      </c>
      <c r="N71" s="3"/>
      <c r="O71" s="3"/>
    </row>
    <row r="72" spans="1:15" x14ac:dyDescent="0.25">
      <c r="A72" s="8" t="s">
        <v>7</v>
      </c>
      <c r="B72" s="8">
        <v>44636</v>
      </c>
      <c r="C72" s="9">
        <v>0.13</v>
      </c>
      <c r="D72" s="10">
        <f t="shared" ca="1" si="4"/>
        <v>102.50223329203038</v>
      </c>
      <c r="E72" s="11">
        <f>+E71*(1+C71*F72/365)</f>
        <v>102.50223329203038</v>
      </c>
      <c r="F72" s="12">
        <f t="shared" si="5"/>
        <v>1</v>
      </c>
      <c r="G72" s="20">
        <f t="shared" ca="1" si="2"/>
        <v>0.13011911250482622</v>
      </c>
      <c r="H72" s="20">
        <f t="shared" ca="1" si="3"/>
        <v>0.13043666422195818</v>
      </c>
      <c r="I72" s="13"/>
      <c r="J72" s="13"/>
      <c r="K72" s="36">
        <v>14</v>
      </c>
      <c r="N72" s="3"/>
      <c r="O72" s="3"/>
    </row>
    <row r="73" spans="1:15" x14ac:dyDescent="0.25">
      <c r="A73" s="8" t="s">
        <v>7</v>
      </c>
      <c r="B73" s="8">
        <v>44637</v>
      </c>
      <c r="C73" s="9">
        <v>0.15566666666666668</v>
      </c>
      <c r="D73" s="10">
        <f t="shared" ca="1" si="4"/>
        <v>102.53874093676454</v>
      </c>
      <c r="E73" s="11">
        <f>+E72*(1+C72*F73/365)</f>
        <v>102.53874093676454</v>
      </c>
      <c r="F73" s="12">
        <f t="shared" si="5"/>
        <v>1</v>
      </c>
      <c r="G73" s="20">
        <f t="shared" ref="G73:G136" ca="1" si="6">(D73/OFFSET(D73,-7,0)-1)*365/7</f>
        <v>0.13011911250482622</v>
      </c>
      <c r="H73" s="20">
        <f t="shared" ca="1" si="3"/>
        <v>0.13047163313175147</v>
      </c>
      <c r="I73" s="13"/>
      <c r="J73" s="13"/>
      <c r="K73" s="36">
        <v>14</v>
      </c>
      <c r="N73" s="3"/>
      <c r="O73" s="3"/>
    </row>
    <row r="74" spans="1:15" x14ac:dyDescent="0.25">
      <c r="A74" s="8" t="s">
        <v>7</v>
      </c>
      <c r="B74" s="8">
        <v>44638</v>
      </c>
      <c r="C74" s="9">
        <v>0.16</v>
      </c>
      <c r="D74" s="10">
        <f t="shared" ca="1" si="4"/>
        <v>102.58247207102707</v>
      </c>
      <c r="E74" s="11">
        <f>+E73*(1+C73*F74/365)</f>
        <v>102.58247207102707</v>
      </c>
      <c r="F74" s="12">
        <f t="shared" si="5"/>
        <v>1</v>
      </c>
      <c r="G74" s="20">
        <f t="shared" ca="1" si="6"/>
        <v>0.13379362037112794</v>
      </c>
      <c r="H74" s="20">
        <f t="shared" ca="1" si="3"/>
        <v>0.13133605552842034</v>
      </c>
      <c r="I74" s="13"/>
      <c r="J74" s="13"/>
      <c r="K74" s="36">
        <v>17</v>
      </c>
      <c r="N74" s="3"/>
      <c r="O74" s="3"/>
    </row>
    <row r="75" spans="1:15" x14ac:dyDescent="0.25">
      <c r="A75" s="14" t="s">
        <v>6</v>
      </c>
      <c r="B75" s="14">
        <v>44639</v>
      </c>
      <c r="C75" s="15">
        <v>0.16</v>
      </c>
      <c r="D75" s="16">
        <f t="shared" ca="1" si="4"/>
        <v>102.6274397300171</v>
      </c>
      <c r="E75" s="17">
        <f>+E74*(1+C74*F75/365)</f>
        <v>102.6274397300171</v>
      </c>
      <c r="F75" s="18">
        <f t="shared" si="5"/>
        <v>1</v>
      </c>
      <c r="G75" s="15">
        <f t="shared" ca="1" si="6"/>
        <v>0.13808880160217768</v>
      </c>
      <c r="H75" s="15">
        <f t="shared" ca="1" si="3"/>
        <v>0.13251491234533691</v>
      </c>
      <c r="I75" s="19"/>
      <c r="J75" s="19"/>
      <c r="K75" s="36">
        <v>17</v>
      </c>
      <c r="N75" s="3"/>
      <c r="O75" s="3"/>
    </row>
    <row r="76" spans="1:15" x14ac:dyDescent="0.25">
      <c r="A76" s="14" t="s">
        <v>6</v>
      </c>
      <c r="B76" s="14">
        <v>44640</v>
      </c>
      <c r="C76" s="15">
        <v>0.16</v>
      </c>
      <c r="D76" s="16">
        <f t="shared" ca="1" si="4"/>
        <v>102.67240738900715</v>
      </c>
      <c r="E76" s="17">
        <f>+E74*(1+C75*F76/365)</f>
        <v>102.67240738900715</v>
      </c>
      <c r="F76" s="18">
        <f t="shared" si="5"/>
        <v>2</v>
      </c>
      <c r="G76" s="15">
        <f t="shared" ca="1" si="6"/>
        <v>0.14238092542996952</v>
      </c>
      <c r="H76" s="15">
        <f t="shared" ca="1" si="3"/>
        <v>0.13352308258008244</v>
      </c>
      <c r="I76" s="19"/>
      <c r="J76" s="19"/>
      <c r="K76" s="36">
        <v>17</v>
      </c>
      <c r="N76" s="3"/>
      <c r="O76" s="3"/>
    </row>
    <row r="77" spans="1:15" x14ac:dyDescent="0.25">
      <c r="A77" s="14" t="s">
        <v>6</v>
      </c>
      <c r="B77" s="14">
        <v>44641</v>
      </c>
      <c r="C77" s="15">
        <v>0.16</v>
      </c>
      <c r="D77" s="16">
        <f t="shared" ca="1" si="4"/>
        <v>102.71737504799718</v>
      </c>
      <c r="E77" s="17">
        <f>+E74*(1+C76*F77/365)</f>
        <v>102.71737504799718</v>
      </c>
      <c r="F77" s="18">
        <f t="shared" si="5"/>
        <v>3</v>
      </c>
      <c r="G77" s="15">
        <f t="shared" ca="1" si="6"/>
        <v>0.14666999511779727</v>
      </c>
      <c r="H77" s="15">
        <f t="shared" ca="1" si="3"/>
        <v>0.13452897584370993</v>
      </c>
      <c r="I77" s="19"/>
      <c r="J77" s="19"/>
      <c r="K77" s="36">
        <v>17</v>
      </c>
      <c r="N77" s="3"/>
      <c r="O77" s="3"/>
    </row>
    <row r="78" spans="1:15" x14ac:dyDescent="0.25">
      <c r="A78" s="14" t="s">
        <v>6</v>
      </c>
      <c r="B78" s="14">
        <v>44642</v>
      </c>
      <c r="C78" s="15">
        <v>0.16</v>
      </c>
      <c r="D78" s="16">
        <f t="shared" ca="1" si="4"/>
        <v>102.76234270698721</v>
      </c>
      <c r="E78" s="17">
        <f>+E74*(1+C77*F78/365)</f>
        <v>102.76234270698721</v>
      </c>
      <c r="F78" s="18">
        <f t="shared" si="5"/>
        <v>4</v>
      </c>
      <c r="G78" s="15">
        <f t="shared" ca="1" si="6"/>
        <v>0.15093614135161065</v>
      </c>
      <c r="H78" s="15">
        <f t="shared" ca="1" si="3"/>
        <v>0.13553415309067005</v>
      </c>
      <c r="I78" s="19"/>
      <c r="J78" s="19"/>
      <c r="K78" s="36">
        <v>17</v>
      </c>
      <c r="N78" s="3"/>
      <c r="O78" s="3"/>
    </row>
    <row r="79" spans="1:15" x14ac:dyDescent="0.25">
      <c r="A79" s="14" t="s">
        <v>6</v>
      </c>
      <c r="B79" s="14">
        <v>44643</v>
      </c>
      <c r="C79" s="15">
        <v>0.16</v>
      </c>
      <c r="D79" s="16">
        <f t="shared" ca="1" si="4"/>
        <v>102.80731036597727</v>
      </c>
      <c r="E79" s="17">
        <f>+E74*(1+C78*F79/365)</f>
        <v>102.80731036597727</v>
      </c>
      <c r="F79" s="18">
        <f t="shared" si="5"/>
        <v>5</v>
      </c>
      <c r="G79" s="15">
        <f t="shared" ca="1" si="6"/>
        <v>0.15519262140418433</v>
      </c>
      <c r="H79" s="15">
        <f t="shared" ca="1" si="3"/>
        <v>0.13653861508520485</v>
      </c>
      <c r="I79" s="19"/>
      <c r="J79" s="19"/>
      <c r="K79" s="36">
        <v>17</v>
      </c>
      <c r="N79" s="3"/>
      <c r="O79" s="3"/>
    </row>
    <row r="80" spans="1:15" x14ac:dyDescent="0.25">
      <c r="A80" s="8" t="s">
        <v>7</v>
      </c>
      <c r="B80" s="8">
        <v>44644</v>
      </c>
      <c r="C80" s="9">
        <v>0.16981412273800156</v>
      </c>
      <c r="D80" s="10">
        <f t="shared" ca="1" si="4"/>
        <v>102.8522780249673</v>
      </c>
      <c r="E80" s="11">
        <f>+E74*(1+C79*F80/365)</f>
        <v>102.8522780249673</v>
      </c>
      <c r="F80" s="12">
        <f t="shared" si="5"/>
        <v>6</v>
      </c>
      <c r="G80" s="20">
        <f t="shared" ca="1" si="6"/>
        <v>0.15943944161774867</v>
      </c>
      <c r="H80" s="20">
        <f t="shared" ca="1" si="3"/>
        <v>0.13753768677368478</v>
      </c>
      <c r="I80" s="13"/>
      <c r="J80" s="13"/>
      <c r="K80" s="36">
        <v>17</v>
      </c>
      <c r="N80" s="3"/>
      <c r="O80" s="3"/>
    </row>
    <row r="81" spans="1:15" x14ac:dyDescent="0.25">
      <c r="A81" s="8" t="s">
        <v>7</v>
      </c>
      <c r="B81" s="8">
        <v>44645</v>
      </c>
      <c r="C81" s="9">
        <v>0.17203947368421052</v>
      </c>
      <c r="D81" s="10">
        <f t="shared" ca="1" si="4"/>
        <v>102.9001294478835</v>
      </c>
      <c r="E81" s="11">
        <f>+E80*(1+C80*F81/365)</f>
        <v>102.9001294478835</v>
      </c>
      <c r="F81" s="12">
        <f t="shared" si="5"/>
        <v>1</v>
      </c>
      <c r="G81" s="20">
        <f t="shared" ca="1" si="6"/>
        <v>0.16146582244899702</v>
      </c>
      <c r="H81" s="20">
        <f t="shared" ca="1" si="3"/>
        <v>0.13889267491746274</v>
      </c>
      <c r="I81" s="13"/>
      <c r="J81" s="13"/>
      <c r="K81" s="36">
        <v>17</v>
      </c>
      <c r="N81" s="3"/>
      <c r="O81" s="3"/>
    </row>
    <row r="82" spans="1:15" x14ac:dyDescent="0.25">
      <c r="A82" s="14" t="s">
        <v>6</v>
      </c>
      <c r="B82" s="14">
        <v>44646</v>
      </c>
      <c r="C82" s="15">
        <v>0.17203947368421052</v>
      </c>
      <c r="D82" s="16">
        <f t="shared" ca="1" si="4"/>
        <v>102.94863050024584</v>
      </c>
      <c r="E82" s="17">
        <f>+E81*(1+C81*F82/365)</f>
        <v>102.94863050024584</v>
      </c>
      <c r="F82" s="18">
        <f t="shared" si="5"/>
        <v>1</v>
      </c>
      <c r="G82" s="15">
        <f t="shared" ca="1" si="6"/>
        <v>0.16319031724556177</v>
      </c>
      <c r="H82" s="15">
        <f t="shared" ca="1" si="3"/>
        <v>0.14030948328190895</v>
      </c>
      <c r="I82" s="19"/>
      <c r="J82" s="19"/>
      <c r="K82" s="36">
        <v>17</v>
      </c>
      <c r="N82" s="3"/>
      <c r="O82" s="3"/>
    </row>
    <row r="83" spans="1:15" x14ac:dyDescent="0.25">
      <c r="A83" s="14" t="s">
        <v>6</v>
      </c>
      <c r="B83" s="14">
        <v>44647</v>
      </c>
      <c r="C83" s="15">
        <v>0.17203947368421052</v>
      </c>
      <c r="D83" s="16">
        <f t="shared" ca="1" si="4"/>
        <v>102.99713155260815</v>
      </c>
      <c r="E83" s="17">
        <f>+E81*(1+C82*F83/365)</f>
        <v>102.99713155260815</v>
      </c>
      <c r="F83" s="18">
        <f t="shared" si="5"/>
        <v>2</v>
      </c>
      <c r="G83" s="15">
        <f t="shared" ca="1" si="6"/>
        <v>0.16491330148058878</v>
      </c>
      <c r="H83" s="15">
        <f t="shared" ca="1" si="3"/>
        <v>0.1417237228857145</v>
      </c>
      <c r="I83" s="19"/>
      <c r="J83" s="19"/>
      <c r="K83" s="36">
        <v>17</v>
      </c>
      <c r="N83" s="3"/>
      <c r="O83" s="3"/>
    </row>
    <row r="84" spans="1:15" x14ac:dyDescent="0.25">
      <c r="A84" s="8" t="s">
        <v>7</v>
      </c>
      <c r="B84" s="8">
        <v>44648</v>
      </c>
      <c r="C84" s="9">
        <v>0.17999999927184474</v>
      </c>
      <c r="D84" s="10">
        <f t="shared" ca="1" si="4"/>
        <v>103.04563260497049</v>
      </c>
      <c r="E84" s="11">
        <f>+E81*(1+C83*F84/365)</f>
        <v>103.04563260497049</v>
      </c>
      <c r="F84" s="12">
        <f t="shared" si="5"/>
        <v>3</v>
      </c>
      <c r="G84" s="20">
        <f t="shared" ca="1" si="6"/>
        <v>0.16663477713799835</v>
      </c>
      <c r="H84" s="20">
        <f t="shared" ca="1" si="3"/>
        <v>0.14313539537843858</v>
      </c>
      <c r="I84" s="13"/>
      <c r="J84" s="13"/>
      <c r="K84" s="36">
        <v>17</v>
      </c>
      <c r="N84" s="3"/>
      <c r="O84" s="3"/>
    </row>
    <row r="85" spans="1:15" x14ac:dyDescent="0.25">
      <c r="A85" s="8" t="s">
        <v>7</v>
      </c>
      <c r="B85" s="8">
        <v>44649</v>
      </c>
      <c r="C85" s="9">
        <v>0.17918275896217073</v>
      </c>
      <c r="D85" s="10">
        <f t="shared" ca="1" si="4"/>
        <v>103.09644962906327</v>
      </c>
      <c r="E85" s="11">
        <f>+E84*(1+C84*F85/365)</f>
        <v>103.09644962906327</v>
      </c>
      <c r="F85" s="12">
        <f t="shared" si="5"/>
        <v>1</v>
      </c>
      <c r="G85" s="20">
        <f t="shared" ca="1" si="6"/>
        <v>0.16952989830064324</v>
      </c>
      <c r="H85" s="20">
        <f t="shared" ca="1" si="3"/>
        <v>0.14482262987027231</v>
      </c>
      <c r="I85" s="13"/>
      <c r="J85" s="13"/>
      <c r="K85" s="36">
        <v>17</v>
      </c>
      <c r="N85" s="3"/>
      <c r="O85" s="3"/>
    </row>
    <row r="86" spans="1:15" x14ac:dyDescent="0.25">
      <c r="A86" s="8" t="s">
        <v>7</v>
      </c>
      <c r="B86" s="8">
        <v>44650</v>
      </c>
      <c r="C86" s="9">
        <v>0.18</v>
      </c>
      <c r="D86" s="10">
        <f t="shared" ca="1" si="4"/>
        <v>103.14706087915572</v>
      </c>
      <c r="E86" s="11">
        <f>+E85*(1+C85*F86/365)</f>
        <v>103.14706087915572</v>
      </c>
      <c r="F86" s="12">
        <f t="shared" si="5"/>
        <v>1</v>
      </c>
      <c r="G86" s="20">
        <f t="shared" ca="1" si="6"/>
        <v>0.17231812027579524</v>
      </c>
      <c r="H86" s="20">
        <f t="shared" ca="1" si="3"/>
        <v>0.14648409956707015</v>
      </c>
      <c r="I86" s="13"/>
      <c r="J86" s="13"/>
      <c r="K86" s="36">
        <v>17</v>
      </c>
      <c r="N86" s="3"/>
      <c r="O86" s="3"/>
    </row>
    <row r="87" spans="1:15" x14ac:dyDescent="0.25">
      <c r="A87" s="8" t="s">
        <v>7</v>
      </c>
      <c r="B87" s="8">
        <v>44651</v>
      </c>
      <c r="C87" s="9">
        <v>0.18</v>
      </c>
      <c r="D87" s="10">
        <f t="shared" ca="1" si="4"/>
        <v>103.19792792287694</v>
      </c>
      <c r="E87" s="11">
        <f>+E86*(1+C86*F87/365)</f>
        <v>103.19792792287694</v>
      </c>
      <c r="F87" s="12">
        <f t="shared" si="5"/>
        <v>1</v>
      </c>
      <c r="G87" s="20">
        <f t="shared" ca="1" si="6"/>
        <v>0.17523358348728377</v>
      </c>
      <c r="H87" s="20">
        <f t="shared" ca="1" si="3"/>
        <v>0.14817023200842169</v>
      </c>
      <c r="I87" s="13"/>
      <c r="J87" s="13"/>
      <c r="K87" s="36">
        <v>17</v>
      </c>
      <c r="N87" s="3"/>
      <c r="O87" s="3"/>
    </row>
    <row r="88" spans="1:15" x14ac:dyDescent="0.25">
      <c r="A88" s="8" t="s">
        <v>7</v>
      </c>
      <c r="B88" s="8">
        <v>44652</v>
      </c>
      <c r="C88" s="9">
        <v>0.18</v>
      </c>
      <c r="D88" s="10">
        <f t="shared" ca="1" si="4"/>
        <v>103.24882005171563</v>
      </c>
      <c r="E88" s="11">
        <f>+E87*(1+C87*F88/365)</f>
        <v>103.24882005171563</v>
      </c>
      <c r="F88" s="12">
        <f t="shared" si="5"/>
        <v>1</v>
      </c>
      <c r="G88" s="20">
        <f t="shared" ca="1" si="6"/>
        <v>0.17669292002090126</v>
      </c>
      <c r="H88" s="20">
        <f t="shared" ca="1" si="3"/>
        <v>0.14985659534458928</v>
      </c>
      <c r="I88" s="13"/>
      <c r="J88" s="13"/>
      <c r="K88" s="36">
        <v>17</v>
      </c>
      <c r="N88" s="3"/>
      <c r="O88" s="3"/>
    </row>
    <row r="89" spans="1:15" x14ac:dyDescent="0.25">
      <c r="A89" s="14" t="s">
        <v>6</v>
      </c>
      <c r="B89" s="14">
        <v>44653</v>
      </c>
      <c r="C89" s="15">
        <v>0.18</v>
      </c>
      <c r="D89" s="16">
        <f t="shared" ca="1" si="4"/>
        <v>103.2997372780425</v>
      </c>
      <c r="E89" s="17">
        <f>+E88*(1+C88*F89/365)</f>
        <v>103.2997372780425</v>
      </c>
      <c r="F89" s="18">
        <f t="shared" si="5"/>
        <v>1</v>
      </c>
      <c r="G89" s="15">
        <f t="shared" ca="1" si="6"/>
        <v>0.1778334540982196</v>
      </c>
      <c r="H89" s="15">
        <f t="shared" ca="1" si="3"/>
        <v>0.15154318960718097</v>
      </c>
      <c r="I89" s="19"/>
      <c r="J89" s="19"/>
      <c r="K89" s="36">
        <v>17</v>
      </c>
      <c r="N89" s="3"/>
      <c r="O89" s="3"/>
    </row>
    <row r="90" spans="1:15" x14ac:dyDescent="0.25">
      <c r="A90" s="14" t="s">
        <v>6</v>
      </c>
      <c r="B90" s="14">
        <v>44654</v>
      </c>
      <c r="C90" s="15">
        <v>0.18</v>
      </c>
      <c r="D90" s="16">
        <f t="shared" ca="1" si="4"/>
        <v>103.35065450436937</v>
      </c>
      <c r="E90" s="17">
        <f>+E88*(1+C89*F90/365)</f>
        <v>103.35065450436937</v>
      </c>
      <c r="F90" s="18">
        <f t="shared" si="5"/>
        <v>2</v>
      </c>
      <c r="G90" s="15">
        <f t="shared" ca="1" si="6"/>
        <v>0.17897291402713869</v>
      </c>
      <c r="H90" s="15">
        <f t="shared" ca="1" si="3"/>
        <v>0.15322702161148236</v>
      </c>
      <c r="I90" s="19"/>
      <c r="J90" s="19"/>
      <c r="K90" s="36">
        <v>17</v>
      </c>
      <c r="N90" s="3"/>
      <c r="O90" s="3"/>
    </row>
    <row r="91" spans="1:15" x14ac:dyDescent="0.25">
      <c r="A91" s="8" t="s">
        <v>7</v>
      </c>
      <c r="B91" s="8">
        <v>44655</v>
      </c>
      <c r="C91" s="9">
        <v>0.18</v>
      </c>
      <c r="D91" s="10">
        <f t="shared" ca="1" si="4"/>
        <v>103.40157173069625</v>
      </c>
      <c r="E91" s="11">
        <f>+E88*(1+C90*F91/365)</f>
        <v>103.40157173069625</v>
      </c>
      <c r="F91" s="12">
        <f t="shared" si="5"/>
        <v>3</v>
      </c>
      <c r="G91" s="20">
        <f t="shared" ca="1" si="6"/>
        <v>0.180111301324347</v>
      </c>
      <c r="H91" s="20">
        <f t="shared" ca="1" si="3"/>
        <v>0.15490809311063802</v>
      </c>
      <c r="I91" s="13"/>
      <c r="J91" s="13"/>
      <c r="K91" s="36">
        <v>17</v>
      </c>
      <c r="N91" s="3"/>
      <c r="O91" s="3"/>
    </row>
    <row r="92" spans="1:15" x14ac:dyDescent="0.25">
      <c r="A92" s="8" t="s">
        <v>7</v>
      </c>
      <c r="B92" s="8">
        <v>44656</v>
      </c>
      <c r="C92" s="9">
        <v>0.18424675324675324</v>
      </c>
      <c r="D92" s="10">
        <f t="shared" ca="1" si="4"/>
        <v>103.45256428661823</v>
      </c>
      <c r="E92" s="11">
        <f>+E91*(1+C91*F92/365)</f>
        <v>103.45256428661823</v>
      </c>
      <c r="F92" s="12">
        <f t="shared" si="5"/>
        <v>1</v>
      </c>
      <c r="G92" s="20">
        <f t="shared" ca="1" si="6"/>
        <v>0.18011130142866513</v>
      </c>
      <c r="H92" s="20">
        <f t="shared" ca="1" si="3"/>
        <v>0.15659694124369933</v>
      </c>
      <c r="I92" s="20">
        <f t="shared" ref="I92:I155" ca="1" si="7">($D92/OFFSET($D92,-90,0)-1)*365/90</f>
        <v>0.14002066273507227</v>
      </c>
      <c r="J92" s="13"/>
      <c r="K92" s="36">
        <v>17</v>
      </c>
      <c r="N92" s="3"/>
      <c r="O92" s="3"/>
    </row>
    <row r="93" spans="1:15" x14ac:dyDescent="0.25">
      <c r="A93" s="8" t="s">
        <v>7</v>
      </c>
      <c r="B93" s="8">
        <v>44657</v>
      </c>
      <c r="C93" s="9">
        <v>0.18184265010351969</v>
      </c>
      <c r="D93" s="10">
        <f t="shared" ca="1" si="4"/>
        <v>103.504785653974</v>
      </c>
      <c r="E93" s="11">
        <f>+E92*(1+C92*F93/365)</f>
        <v>103.504785653974</v>
      </c>
      <c r="F93" s="12">
        <f t="shared" si="5"/>
        <v>1</v>
      </c>
      <c r="G93" s="20">
        <f t="shared" ca="1" si="6"/>
        <v>0.18083687184904876</v>
      </c>
      <c r="H93" s="20">
        <f t="shared" ca="1" si="3"/>
        <v>0.15843091151594807</v>
      </c>
      <c r="I93" s="20">
        <f t="shared" ca="1" si="7"/>
        <v>0.14064399247473042</v>
      </c>
      <c r="J93" s="13"/>
      <c r="K93" s="36">
        <v>17</v>
      </c>
      <c r="N93" s="3"/>
      <c r="O93" s="3"/>
    </row>
    <row r="94" spans="1:15" x14ac:dyDescent="0.25">
      <c r="A94" s="8" t="s">
        <v>7</v>
      </c>
      <c r="B94" s="8">
        <v>44658</v>
      </c>
      <c r="C94" s="9">
        <v>0.18</v>
      </c>
      <c r="D94" s="10">
        <f t="shared" ca="1" si="4"/>
        <v>103.556351638965</v>
      </c>
      <c r="E94" s="11">
        <f>+E93*(1+C93*F94/365)</f>
        <v>103.556351638965</v>
      </c>
      <c r="F94" s="12">
        <f t="shared" si="5"/>
        <v>1</v>
      </c>
      <c r="G94" s="20">
        <f t="shared" ca="1" si="6"/>
        <v>0.18110089030623325</v>
      </c>
      <c r="H94" s="20">
        <f t="shared" ca="1" si="3"/>
        <v>0.16018087925685812</v>
      </c>
      <c r="I94" s="20">
        <f t="shared" ca="1" si="7"/>
        <v>0.14123978604122114</v>
      </c>
      <c r="J94" s="13"/>
      <c r="K94" s="36">
        <v>17</v>
      </c>
      <c r="N94" s="3"/>
      <c r="O94" s="3"/>
    </row>
    <row r="95" spans="1:15" x14ac:dyDescent="0.25">
      <c r="A95" s="8" t="s">
        <v>7</v>
      </c>
      <c r="B95" s="8">
        <v>44659</v>
      </c>
      <c r="C95" s="9">
        <v>0.18</v>
      </c>
      <c r="D95" s="10">
        <f t="shared" ca="1" si="4"/>
        <v>103.60742052470476</v>
      </c>
      <c r="E95" s="11">
        <f>+E94*(1+C94*F95/365)</f>
        <v>103.60742052470476</v>
      </c>
      <c r="F95" s="12">
        <f t="shared" si="5"/>
        <v>1</v>
      </c>
      <c r="G95" s="20">
        <f t="shared" ca="1" si="6"/>
        <v>0.18110089030623325</v>
      </c>
      <c r="H95" s="20">
        <f t="shared" ca="1" si="3"/>
        <v>0.16187045010071241</v>
      </c>
      <c r="I95" s="20">
        <f t="shared" ca="1" si="7"/>
        <v>0.14181448482543491</v>
      </c>
      <c r="J95" s="13"/>
      <c r="K95" s="36">
        <v>17</v>
      </c>
      <c r="N95" s="3"/>
      <c r="O95" s="3"/>
    </row>
    <row r="96" spans="1:15" x14ac:dyDescent="0.25">
      <c r="A96" s="14" t="s">
        <v>6</v>
      </c>
      <c r="B96" s="14">
        <v>44660</v>
      </c>
      <c r="C96" s="15">
        <v>0.18</v>
      </c>
      <c r="D96" s="16">
        <f t="shared" ca="1" si="4"/>
        <v>103.65851459510051</v>
      </c>
      <c r="E96" s="17">
        <f>+E95*(1+C95*F96/365)</f>
        <v>103.65851459510051</v>
      </c>
      <c r="F96" s="18">
        <f t="shared" si="5"/>
        <v>1</v>
      </c>
      <c r="G96" s="15">
        <f t="shared" ca="1" si="6"/>
        <v>0.18110089030623325</v>
      </c>
      <c r="H96" s="15">
        <f t="shared" ref="H96:H159" ca="1" si="8">($D96/OFFSET($D96,-30,0)-1)*365/30</f>
        <v>0.16355868951088973</v>
      </c>
      <c r="I96" s="15">
        <f t="shared" ca="1" si="7"/>
        <v>0.14239460684025623</v>
      </c>
      <c r="J96" s="19"/>
      <c r="K96" s="36">
        <v>17</v>
      </c>
      <c r="N96" s="3"/>
      <c r="O96" s="3"/>
    </row>
    <row r="97" spans="1:15" x14ac:dyDescent="0.25">
      <c r="A97" s="14" t="s">
        <v>6</v>
      </c>
      <c r="B97" s="14">
        <v>44661</v>
      </c>
      <c r="C97" s="15">
        <v>0.18</v>
      </c>
      <c r="D97" s="16">
        <f t="shared" ca="1" si="4"/>
        <v>103.70960866549625</v>
      </c>
      <c r="E97" s="17">
        <f>+E95*(1+C96*F97/365)</f>
        <v>103.70960866549625</v>
      </c>
      <c r="F97" s="18">
        <f t="shared" si="5"/>
        <v>2</v>
      </c>
      <c r="G97" s="15">
        <f t="shared" ca="1" si="6"/>
        <v>0.18110089030623325</v>
      </c>
      <c r="H97" s="15">
        <f t="shared" ca="1" si="8"/>
        <v>0.16524416396839853</v>
      </c>
      <c r="I97" s="15">
        <f t="shared" ca="1" si="7"/>
        <v>0.1429743173871956</v>
      </c>
      <c r="J97" s="19"/>
      <c r="K97" s="36">
        <v>17</v>
      </c>
      <c r="N97" s="3"/>
      <c r="O97" s="3"/>
    </row>
    <row r="98" spans="1:15" x14ac:dyDescent="0.25">
      <c r="A98" s="8" t="s">
        <v>7</v>
      </c>
      <c r="B98" s="8">
        <v>44662</v>
      </c>
      <c r="C98" s="9">
        <v>0.18</v>
      </c>
      <c r="D98" s="10">
        <f t="shared" ca="1" si="4"/>
        <v>103.760702735892</v>
      </c>
      <c r="E98" s="11">
        <f>+E95*(1+C97*F98/365)</f>
        <v>103.760702735892</v>
      </c>
      <c r="F98" s="12">
        <f t="shared" si="5"/>
        <v>3</v>
      </c>
      <c r="G98" s="20">
        <f t="shared" ca="1" si="6"/>
        <v>0.18110089030623325</v>
      </c>
      <c r="H98" s="20">
        <f t="shared" ca="1" si="8"/>
        <v>0.16692687522809074</v>
      </c>
      <c r="I98" s="20">
        <f t="shared" ca="1" si="7"/>
        <v>0.14354721428763426</v>
      </c>
      <c r="J98" s="13"/>
      <c r="K98" s="36">
        <v>17</v>
      </c>
      <c r="N98" s="3"/>
      <c r="O98" s="3"/>
    </row>
    <row r="99" spans="1:15" x14ac:dyDescent="0.25">
      <c r="A99" s="8" t="s">
        <v>7</v>
      </c>
      <c r="B99" s="8">
        <v>44663</v>
      </c>
      <c r="C99" s="9">
        <v>0.18</v>
      </c>
      <c r="D99" s="10">
        <f t="shared" ca="1" si="4"/>
        <v>103.81187239751517</v>
      </c>
      <c r="E99" s="11">
        <f>+E98*(1+C98*F99/365)</f>
        <v>103.81187239751517</v>
      </c>
      <c r="F99" s="12">
        <f t="shared" si="5"/>
        <v>1</v>
      </c>
      <c r="G99" s="20">
        <f t="shared" ca="1" si="6"/>
        <v>0.18110089030623325</v>
      </c>
      <c r="H99" s="20">
        <f t="shared" ca="1" si="8"/>
        <v>0.16861737070722338</v>
      </c>
      <c r="I99" s="20">
        <f t="shared" ca="1" si="7"/>
        <v>0.14413678309243463</v>
      </c>
      <c r="J99" s="13"/>
      <c r="K99" s="36">
        <v>17</v>
      </c>
      <c r="N99" s="3"/>
      <c r="O99" s="3"/>
    </row>
    <row r="100" spans="1:15" x14ac:dyDescent="0.25">
      <c r="A100" s="8" t="s">
        <v>7</v>
      </c>
      <c r="B100" s="8">
        <v>44664</v>
      </c>
      <c r="C100" s="9">
        <v>0.18</v>
      </c>
      <c r="D100" s="10">
        <f t="shared" ca="1" si="4"/>
        <v>103.86306729349202</v>
      </c>
      <c r="E100" s="11">
        <f>+E99*(1+C99*F100/365)</f>
        <v>103.86306729349202</v>
      </c>
      <c r="F100" s="12">
        <f t="shared" si="5"/>
        <v>1</v>
      </c>
      <c r="G100" s="20">
        <f t="shared" ca="1" si="6"/>
        <v>0.18049241132435842</v>
      </c>
      <c r="H100" s="20">
        <f t="shared" ca="1" si="8"/>
        <v>0.17030966064906264</v>
      </c>
      <c r="I100" s="20">
        <f t="shared" ca="1" si="7"/>
        <v>0.14481225888210206</v>
      </c>
      <c r="J100" s="13"/>
      <c r="K100" s="36">
        <v>17</v>
      </c>
      <c r="N100" s="3"/>
      <c r="O100" s="3"/>
    </row>
    <row r="101" spans="1:15" x14ac:dyDescent="0.25">
      <c r="A101" s="8" t="s">
        <v>7</v>
      </c>
      <c r="B101" s="8">
        <v>44665</v>
      </c>
      <c r="C101" s="9">
        <v>0.18</v>
      </c>
      <c r="D101" s="10">
        <f t="shared" ca="1" si="4"/>
        <v>103.91428743626689</v>
      </c>
      <c r="E101" s="11">
        <f>+E100*(1+C100*F101/365)</f>
        <v>103.91428743626689</v>
      </c>
      <c r="F101" s="12">
        <f t="shared" si="5"/>
        <v>1</v>
      </c>
      <c r="G101" s="20">
        <f t="shared" ca="1" si="6"/>
        <v>0.18022839593747333</v>
      </c>
      <c r="H101" s="20">
        <f t="shared" ca="1" si="8"/>
        <v>0.17199905570387972</v>
      </c>
      <c r="I101" s="20">
        <f t="shared" ca="1" si="7"/>
        <v>0.14550090532382617</v>
      </c>
      <c r="J101" s="13"/>
      <c r="K101" s="36">
        <v>17</v>
      </c>
      <c r="N101" s="3"/>
      <c r="O101" s="3"/>
    </row>
    <row r="102" spans="1:15" x14ac:dyDescent="0.25">
      <c r="A102" s="8" t="s">
        <v>7</v>
      </c>
      <c r="B102" s="8">
        <v>44666</v>
      </c>
      <c r="C102" s="9">
        <v>0.18</v>
      </c>
      <c r="D102" s="10">
        <f t="shared" ca="1" si="4"/>
        <v>103.96553283829026</v>
      </c>
      <c r="E102" s="11">
        <f>+E101*(1+C101*F102/365)</f>
        <v>103.96553283829026</v>
      </c>
      <c r="F102" s="12">
        <f t="shared" si="5"/>
        <v>1</v>
      </c>
      <c r="G102" s="20">
        <f t="shared" ca="1" si="6"/>
        <v>0.18022839593747333</v>
      </c>
      <c r="H102" s="20">
        <f t="shared" ca="1" si="8"/>
        <v>0.17368868210028315</v>
      </c>
      <c r="I102" s="20">
        <f t="shared" ca="1" si="7"/>
        <v>0.14616713261469419</v>
      </c>
      <c r="J102" s="13"/>
      <c r="K102" s="36">
        <v>17</v>
      </c>
      <c r="N102" s="3"/>
      <c r="O102" s="3"/>
    </row>
    <row r="103" spans="1:15" x14ac:dyDescent="0.25">
      <c r="A103" s="14" t="s">
        <v>6</v>
      </c>
      <c r="B103" s="14">
        <v>44667</v>
      </c>
      <c r="C103" s="15">
        <v>0.18</v>
      </c>
      <c r="D103" s="16">
        <f t="shared" ca="1" si="4"/>
        <v>104.01680351201873</v>
      </c>
      <c r="E103" s="17">
        <f>+E102*(1+C102*F103/365)</f>
        <v>104.01680351201873</v>
      </c>
      <c r="F103" s="18">
        <f t="shared" si="5"/>
        <v>1</v>
      </c>
      <c r="G103" s="15">
        <f t="shared" ca="1" si="6"/>
        <v>0.18022839593746176</v>
      </c>
      <c r="H103" s="15">
        <f t="shared" ca="1" si="8"/>
        <v>0.17537853986994853</v>
      </c>
      <c r="I103" s="15">
        <f t="shared" ca="1" si="7"/>
        <v>0.14683393548530355</v>
      </c>
      <c r="J103" s="19"/>
      <c r="K103" s="36">
        <v>17</v>
      </c>
      <c r="N103" s="3"/>
      <c r="O103" s="3"/>
    </row>
    <row r="104" spans="1:15" x14ac:dyDescent="0.25">
      <c r="A104" s="14" t="s">
        <v>6</v>
      </c>
      <c r="B104" s="14">
        <v>44668</v>
      </c>
      <c r="C104" s="15">
        <v>0.18</v>
      </c>
      <c r="D104" s="16">
        <f t="shared" ca="1" si="4"/>
        <v>104.06807418574721</v>
      </c>
      <c r="E104" s="17">
        <f>+E102*(1+C103*F104/365)</f>
        <v>104.06807418574721</v>
      </c>
      <c r="F104" s="18">
        <f t="shared" si="5"/>
        <v>2</v>
      </c>
      <c r="G104" s="15">
        <f t="shared" ca="1" si="6"/>
        <v>0.18022839593747333</v>
      </c>
      <c r="H104" s="15">
        <f t="shared" ca="1" si="8"/>
        <v>0.17619799332365679</v>
      </c>
      <c r="I104" s="15">
        <f t="shared" ca="1" si="7"/>
        <v>0.14750029269605039</v>
      </c>
      <c r="J104" s="19"/>
      <c r="K104" s="36">
        <v>17</v>
      </c>
      <c r="N104" s="3"/>
      <c r="O104" s="3"/>
    </row>
    <row r="105" spans="1:15" x14ac:dyDescent="0.25">
      <c r="A105" s="8" t="s">
        <v>7</v>
      </c>
      <c r="B105" s="8">
        <v>44669</v>
      </c>
      <c r="C105" s="9">
        <v>0.18</v>
      </c>
      <c r="D105" s="10">
        <f t="shared" ca="1" si="4"/>
        <v>104.11934485947567</v>
      </c>
      <c r="E105" s="11">
        <f>+E102*(1+C104*F105/365)</f>
        <v>104.11934485947567</v>
      </c>
      <c r="F105" s="12">
        <f t="shared" si="5"/>
        <v>3</v>
      </c>
      <c r="G105" s="20">
        <f t="shared" ca="1" si="6"/>
        <v>0.18022839593747333</v>
      </c>
      <c r="H105" s="20">
        <f t="shared" ca="1" si="8"/>
        <v>0.17686802336844706</v>
      </c>
      <c r="I105" s="20">
        <f t="shared" ca="1" si="7"/>
        <v>0.14813515860098128</v>
      </c>
      <c r="J105" s="13"/>
      <c r="K105" s="36">
        <v>17</v>
      </c>
      <c r="N105" s="3"/>
      <c r="O105" s="3"/>
    </row>
    <row r="106" spans="1:15" x14ac:dyDescent="0.25">
      <c r="A106" s="8" t="s">
        <v>7</v>
      </c>
      <c r="B106" s="8">
        <v>44670</v>
      </c>
      <c r="C106" s="9">
        <v>0.18</v>
      </c>
      <c r="D106" s="10">
        <f t="shared" ca="1" si="4"/>
        <v>104.17069138570774</v>
      </c>
      <c r="E106" s="11">
        <f>+E105*(1+C105*F106/365)</f>
        <v>104.17069138570774</v>
      </c>
      <c r="F106" s="12">
        <f t="shared" si="5"/>
        <v>1</v>
      </c>
      <c r="G106" s="20">
        <f t="shared" ca="1" si="6"/>
        <v>0.18022839593747333</v>
      </c>
      <c r="H106" s="20">
        <f t="shared" ca="1" si="8"/>
        <v>0.17754645501581068</v>
      </c>
      <c r="I106" s="20">
        <f t="shared" ca="1" si="7"/>
        <v>0.14876837459352837</v>
      </c>
      <c r="J106" s="13"/>
      <c r="K106" s="36">
        <v>17</v>
      </c>
      <c r="N106" s="3"/>
      <c r="O106" s="3"/>
    </row>
    <row r="107" spans="1:15" x14ac:dyDescent="0.25">
      <c r="A107" s="8" t="s">
        <v>7</v>
      </c>
      <c r="B107" s="8">
        <v>44671</v>
      </c>
      <c r="C107" s="9">
        <v>0.18</v>
      </c>
      <c r="D107" s="10">
        <f t="shared" ca="1" si="4"/>
        <v>104.22206323351439</v>
      </c>
      <c r="E107" s="11">
        <f>+E106*(1+C106*F107/365)</f>
        <v>104.22206323351439</v>
      </c>
      <c r="F107" s="12">
        <f t="shared" si="5"/>
        <v>1</v>
      </c>
      <c r="G107" s="20">
        <f t="shared" ca="1" si="6"/>
        <v>0.18022839593747333</v>
      </c>
      <c r="H107" s="20">
        <f t="shared" ca="1" si="8"/>
        <v>0.17822729194457043</v>
      </c>
      <c r="I107" s="20">
        <f t="shared" ca="1" si="7"/>
        <v>0.14935614104981265</v>
      </c>
      <c r="J107" s="13"/>
      <c r="K107" s="36">
        <v>17</v>
      </c>
      <c r="N107" s="3"/>
      <c r="O107" s="3"/>
    </row>
    <row r="108" spans="1:15" x14ac:dyDescent="0.25">
      <c r="A108" s="8" t="s">
        <v>7</v>
      </c>
      <c r="B108" s="8">
        <v>44672</v>
      </c>
      <c r="C108" s="9">
        <v>0.18</v>
      </c>
      <c r="D108" s="10">
        <f t="shared" ca="1" si="4"/>
        <v>104.27346041538297</v>
      </c>
      <c r="E108" s="11">
        <f>+E107*(1+C107*F108/365)</f>
        <v>104.27346041538297</v>
      </c>
      <c r="F108" s="12">
        <f t="shared" si="5"/>
        <v>1</v>
      </c>
      <c r="G108" s="20">
        <f t="shared" ca="1" si="6"/>
        <v>0.18022839593747333</v>
      </c>
      <c r="H108" s="20">
        <f t="shared" ca="1" si="8"/>
        <v>0.17891053247561217</v>
      </c>
      <c r="I108" s="20">
        <f t="shared" ca="1" si="7"/>
        <v>0.14993195126762554</v>
      </c>
      <c r="J108" s="13"/>
      <c r="K108" s="36">
        <v>17</v>
      </c>
      <c r="N108" s="3"/>
      <c r="O108" s="3"/>
    </row>
    <row r="109" spans="1:15" x14ac:dyDescent="0.25">
      <c r="A109" s="8" t="s">
        <v>7</v>
      </c>
      <c r="B109" s="8">
        <v>44673</v>
      </c>
      <c r="C109" s="9">
        <v>0.18</v>
      </c>
      <c r="D109" s="10">
        <f t="shared" ca="1" si="4"/>
        <v>104.324882943807</v>
      </c>
      <c r="E109" s="11">
        <f>+E108*(1+C108*F109/365)</f>
        <v>104.324882943807</v>
      </c>
      <c r="F109" s="12">
        <f t="shared" si="5"/>
        <v>1</v>
      </c>
      <c r="G109" s="20">
        <f t="shared" ca="1" si="6"/>
        <v>0.18022839593747333</v>
      </c>
      <c r="H109" s="20">
        <f t="shared" ca="1" si="8"/>
        <v>0.17959617493347696</v>
      </c>
      <c r="I109" s="20">
        <f t="shared" ca="1" si="7"/>
        <v>0.15050784033546766</v>
      </c>
      <c r="J109" s="13"/>
      <c r="K109" s="36">
        <v>17</v>
      </c>
      <c r="N109" s="3"/>
      <c r="O109" s="3"/>
    </row>
    <row r="110" spans="1:15" x14ac:dyDescent="0.25">
      <c r="A110" s="14" t="s">
        <v>6</v>
      </c>
      <c r="B110" s="14">
        <v>44674</v>
      </c>
      <c r="C110" s="15">
        <v>0.18</v>
      </c>
      <c r="D110" s="16">
        <f t="shared" ca="1" si="4"/>
        <v>104.37633083128614</v>
      </c>
      <c r="E110" s="17">
        <f>+E109*(1+C109*F110/365)</f>
        <v>104.37633083128614</v>
      </c>
      <c r="F110" s="18">
        <f t="shared" si="5"/>
        <v>1</v>
      </c>
      <c r="G110" s="15">
        <f t="shared" ca="1" si="6"/>
        <v>0.18022839593748491</v>
      </c>
      <c r="H110" s="15">
        <f t="shared" ca="1" si="8"/>
        <v>0.18028421764637989</v>
      </c>
      <c r="I110" s="15">
        <f t="shared" ca="1" si="7"/>
        <v>0.15108434150939964</v>
      </c>
      <c r="J110" s="19"/>
      <c r="K110" s="36">
        <v>17</v>
      </c>
      <c r="N110" s="3"/>
      <c r="O110" s="3"/>
    </row>
    <row r="111" spans="1:15" x14ac:dyDescent="0.25">
      <c r="A111" s="14" t="s">
        <v>6</v>
      </c>
      <c r="B111" s="14">
        <v>44675</v>
      </c>
      <c r="C111" s="15">
        <v>0.18</v>
      </c>
      <c r="D111" s="16">
        <f t="shared" ca="1" si="4"/>
        <v>104.42777871876527</v>
      </c>
      <c r="E111" s="17">
        <f>+E109*(1+C110*F111/365)</f>
        <v>104.42777871876527</v>
      </c>
      <c r="F111" s="18">
        <f t="shared" si="5"/>
        <v>2</v>
      </c>
      <c r="G111" s="15">
        <f t="shared" ca="1" si="6"/>
        <v>0.18022839593747333</v>
      </c>
      <c r="H111" s="15">
        <f t="shared" ca="1" si="8"/>
        <v>0.18062561788912448</v>
      </c>
      <c r="I111" s="15">
        <f t="shared" ca="1" si="7"/>
        <v>0.15166043246327779</v>
      </c>
      <c r="J111" s="19"/>
      <c r="K111" s="36">
        <v>17</v>
      </c>
      <c r="N111" s="3"/>
      <c r="O111" s="3"/>
    </row>
    <row r="112" spans="1:15" x14ac:dyDescent="0.25">
      <c r="A112" s="8" t="s">
        <v>7</v>
      </c>
      <c r="B112" s="8">
        <v>44676</v>
      </c>
      <c r="C112" s="9">
        <v>0.18</v>
      </c>
      <c r="D112" s="10">
        <f t="shared" ca="1" si="4"/>
        <v>104.47922660624441</v>
      </c>
      <c r="E112" s="11">
        <f>+E109*(1+C111*F112/365)</f>
        <v>104.47922660624441</v>
      </c>
      <c r="F112" s="12">
        <f t="shared" si="5"/>
        <v>3</v>
      </c>
      <c r="G112" s="20">
        <f t="shared" ca="1" si="6"/>
        <v>0.18022839593747333</v>
      </c>
      <c r="H112" s="20">
        <f t="shared" ca="1" si="8"/>
        <v>0.18088878436258635</v>
      </c>
      <c r="I112" s="20">
        <f t="shared" ca="1" si="7"/>
        <v>0.15223451459963297</v>
      </c>
      <c r="J112" s="13"/>
      <c r="K112" s="36">
        <v>17</v>
      </c>
      <c r="N112" s="3"/>
      <c r="O112" s="3"/>
    </row>
    <row r="113" spans="1:15" x14ac:dyDescent="0.25">
      <c r="A113" s="8" t="s">
        <v>7</v>
      </c>
      <c r="B113" s="8">
        <v>44677</v>
      </c>
      <c r="C113" s="9">
        <v>0.18</v>
      </c>
      <c r="D113" s="10">
        <f t="shared" ca="1" si="4"/>
        <v>104.53075060840639</v>
      </c>
      <c r="E113" s="11">
        <f t="shared" ref="E113:E118" si="9">+E112*(1+C112*F113/365)</f>
        <v>104.53075060840639</v>
      </c>
      <c r="F113" s="12">
        <f t="shared" si="5"/>
        <v>1</v>
      </c>
      <c r="G113" s="20">
        <f t="shared" ca="1" si="6"/>
        <v>0.18022839593747333</v>
      </c>
      <c r="H113" s="20">
        <f t="shared" ca="1" si="8"/>
        <v>0.18116069413073557</v>
      </c>
      <c r="I113" s="20">
        <f t="shared" ca="1" si="7"/>
        <v>0.1528107189748085</v>
      </c>
      <c r="J113" s="13"/>
      <c r="K113" s="36">
        <v>17</v>
      </c>
      <c r="N113" s="3"/>
      <c r="O113" s="3"/>
    </row>
    <row r="114" spans="1:15" x14ac:dyDescent="0.25">
      <c r="A114" s="8" t="s">
        <v>7</v>
      </c>
      <c r="B114" s="8">
        <v>44678</v>
      </c>
      <c r="C114" s="9">
        <v>0.18</v>
      </c>
      <c r="D114" s="10">
        <f t="shared" ca="1" si="4"/>
        <v>104.58230001966533</v>
      </c>
      <c r="E114" s="11">
        <f t="shared" si="9"/>
        <v>104.58230001966533</v>
      </c>
      <c r="F114" s="12">
        <f t="shared" si="5"/>
        <v>1</v>
      </c>
      <c r="G114" s="20">
        <f t="shared" ca="1" si="6"/>
        <v>0.18022839593747333</v>
      </c>
      <c r="H114" s="20">
        <f t="shared" ca="1" si="8"/>
        <v>0.18143534800540972</v>
      </c>
      <c r="I114" s="20">
        <f t="shared" ca="1" si="7"/>
        <v>0.15338700225398649</v>
      </c>
      <c r="J114" s="13"/>
      <c r="K114" s="36">
        <v>17</v>
      </c>
      <c r="N114" s="3"/>
      <c r="O114" s="3"/>
    </row>
    <row r="115" spans="1:15" x14ac:dyDescent="0.25">
      <c r="A115" s="8" t="s">
        <v>7</v>
      </c>
      <c r="B115" s="8">
        <v>44679</v>
      </c>
      <c r="C115" s="9">
        <v>0.18</v>
      </c>
      <c r="D115" s="10">
        <f t="shared" ca="1" si="4"/>
        <v>104.63387485255174</v>
      </c>
      <c r="E115" s="11">
        <f t="shared" si="9"/>
        <v>104.63387485255174</v>
      </c>
      <c r="F115" s="12">
        <f t="shared" si="5"/>
        <v>1</v>
      </c>
      <c r="G115" s="20">
        <f t="shared" ca="1" si="6"/>
        <v>0.18022839593747333</v>
      </c>
      <c r="H115" s="20">
        <f t="shared" ca="1" si="8"/>
        <v>0.18143534803003158</v>
      </c>
      <c r="I115" s="20">
        <f t="shared" ca="1" si="7"/>
        <v>0.15396336444797404</v>
      </c>
      <c r="J115" s="13"/>
      <c r="K115" s="36">
        <v>17</v>
      </c>
      <c r="N115" s="3"/>
      <c r="O115" s="3"/>
    </row>
    <row r="116" spans="1:15" x14ac:dyDescent="0.25">
      <c r="A116" s="8" t="s">
        <v>7</v>
      </c>
      <c r="B116" s="8">
        <v>44680</v>
      </c>
      <c r="C116" s="9">
        <v>0.18046875000000001</v>
      </c>
      <c r="D116" s="10">
        <f t="shared" ca="1" si="4"/>
        <v>104.68547511960232</v>
      </c>
      <c r="E116" s="11">
        <f t="shared" si="9"/>
        <v>104.68547511960232</v>
      </c>
      <c r="F116" s="12">
        <f t="shared" si="5"/>
        <v>1</v>
      </c>
      <c r="G116" s="20">
        <f t="shared" ca="1" si="6"/>
        <v>0.18022839593747333</v>
      </c>
      <c r="H116" s="20">
        <f t="shared" ca="1" si="8"/>
        <v>0.18146298206883166</v>
      </c>
      <c r="I116" s="20">
        <f t="shared" ca="1" si="7"/>
        <v>0.15453980556757549</v>
      </c>
      <c r="J116" s="13"/>
      <c r="K116" s="36">
        <v>17</v>
      </c>
      <c r="N116" s="3"/>
      <c r="O116" s="3"/>
    </row>
    <row r="117" spans="1:15" x14ac:dyDescent="0.25">
      <c r="A117" s="8" t="s">
        <v>7</v>
      </c>
      <c r="B117" s="8">
        <v>44681</v>
      </c>
      <c r="C117" s="9">
        <v>0.19</v>
      </c>
      <c r="D117" s="10">
        <f t="shared" ca="1" si="4"/>
        <v>104.73723527532283</v>
      </c>
      <c r="E117" s="11">
        <f t="shared" si="9"/>
        <v>104.73723527532283</v>
      </c>
      <c r="F117" s="12">
        <f t="shared" si="5"/>
        <v>1</v>
      </c>
      <c r="G117" s="20">
        <f t="shared" ca="1" si="6"/>
        <v>0.18029555855958621</v>
      </c>
      <c r="H117" s="20">
        <f t="shared" ca="1" si="8"/>
        <v>0.18147883229549458</v>
      </c>
      <c r="I117" s="20">
        <f t="shared" ca="1" si="7"/>
        <v>0.15512226425624678</v>
      </c>
      <c r="J117" s="13"/>
      <c r="K117" s="36">
        <v>17</v>
      </c>
      <c r="N117" s="3"/>
      <c r="O117" s="3"/>
    </row>
    <row r="118" spans="1:15" x14ac:dyDescent="0.25">
      <c r="A118" s="14" t="s">
        <v>6</v>
      </c>
      <c r="B118" s="14">
        <v>44682</v>
      </c>
      <c r="C118" s="15">
        <v>0.19</v>
      </c>
      <c r="D118" s="16">
        <f t="shared" ca="1" si="4"/>
        <v>104.79175602793191</v>
      </c>
      <c r="E118" s="17">
        <f t="shared" si="9"/>
        <v>104.79175602793191</v>
      </c>
      <c r="F118" s="18">
        <f t="shared" si="5"/>
        <v>1</v>
      </c>
      <c r="G118" s="15">
        <f t="shared" ca="1" si="6"/>
        <v>0.18174107567900261</v>
      </c>
      <c r="H118" s="15">
        <f t="shared" ca="1" si="8"/>
        <v>0.18181697089834756</v>
      </c>
      <c r="I118" s="15">
        <f t="shared" ca="1" si="7"/>
        <v>0.15581525134595148</v>
      </c>
      <c r="J118" s="15"/>
      <c r="K118" s="36">
        <v>17</v>
      </c>
      <c r="N118" s="3"/>
      <c r="O118" s="3"/>
    </row>
    <row r="119" spans="1:15" x14ac:dyDescent="0.25">
      <c r="A119" s="14" t="s">
        <v>6</v>
      </c>
      <c r="B119" s="14">
        <v>44683</v>
      </c>
      <c r="C119" s="15">
        <v>0.19</v>
      </c>
      <c r="D119" s="16">
        <f t="shared" ca="1" si="4"/>
        <v>104.84627678054098</v>
      </c>
      <c r="E119" s="17">
        <f>+E117*(1+C118*F119/365)</f>
        <v>104.84627678054098</v>
      </c>
      <c r="F119" s="18">
        <f t="shared" si="5"/>
        <v>2</v>
      </c>
      <c r="G119" s="15">
        <f t="shared" ca="1" si="6"/>
        <v>0.18318516918905087</v>
      </c>
      <c r="H119" s="15">
        <f t="shared" ca="1" si="8"/>
        <v>0.1821517760794068</v>
      </c>
      <c r="I119" s="15">
        <f t="shared" ca="1" si="7"/>
        <v>0.15650614484481756</v>
      </c>
      <c r="J119" s="15"/>
      <c r="K119" s="36">
        <v>17</v>
      </c>
      <c r="N119" s="3"/>
      <c r="O119" s="3"/>
    </row>
    <row r="120" spans="1:15" x14ac:dyDescent="0.25">
      <c r="A120" s="14" t="s">
        <v>6</v>
      </c>
      <c r="B120" s="14">
        <v>44684</v>
      </c>
      <c r="C120" s="15">
        <v>0.19</v>
      </c>
      <c r="D120" s="16">
        <f t="shared" ca="1" si="4"/>
        <v>104.90079753315005</v>
      </c>
      <c r="E120" s="17">
        <f>+E117*(1+C119*F120/365)</f>
        <v>104.90079753315005</v>
      </c>
      <c r="F120" s="18">
        <f t="shared" si="5"/>
        <v>3</v>
      </c>
      <c r="G120" s="15">
        <f t="shared" ca="1" si="6"/>
        <v>0.18458973862482933</v>
      </c>
      <c r="H120" s="15">
        <f t="shared" ca="1" si="8"/>
        <v>0.18248625136703175</v>
      </c>
      <c r="I120" s="15">
        <f t="shared" ca="1" si="7"/>
        <v>0.15719601253062465</v>
      </c>
      <c r="J120" s="19"/>
      <c r="K120" s="36">
        <v>17</v>
      </c>
      <c r="N120" s="3"/>
      <c r="O120" s="3"/>
    </row>
    <row r="121" spans="1:15" x14ac:dyDescent="0.25">
      <c r="A121" s="14" t="s">
        <v>6</v>
      </c>
      <c r="B121" s="14">
        <v>44685</v>
      </c>
      <c r="C121" s="15">
        <v>0.19</v>
      </c>
      <c r="D121" s="16">
        <f t="shared" ca="1" si="4"/>
        <v>104.95531828575911</v>
      </c>
      <c r="E121" s="17">
        <f>+E117*(1+C120*F121/365)</f>
        <v>104.95531828575911</v>
      </c>
      <c r="F121" s="18">
        <f t="shared" si="5"/>
        <v>4</v>
      </c>
      <c r="G121" s="15">
        <f t="shared" ca="1" si="6"/>
        <v>0.18598021038882148</v>
      </c>
      <c r="H121" s="15">
        <f t="shared" ca="1" si="8"/>
        <v>0.18282039724856189</v>
      </c>
      <c r="I121" s="15">
        <f t="shared" ca="1" si="7"/>
        <v>0.15788485504624711</v>
      </c>
      <c r="J121" s="19"/>
      <c r="K121" s="36">
        <v>17</v>
      </c>
      <c r="N121" s="3"/>
      <c r="O121" s="3"/>
    </row>
    <row r="122" spans="1:15" x14ac:dyDescent="0.25">
      <c r="A122" s="8" t="s">
        <v>7</v>
      </c>
      <c r="B122" s="8">
        <v>44686</v>
      </c>
      <c r="C122" s="9">
        <v>0.18036290322580645</v>
      </c>
      <c r="D122" s="10">
        <f t="shared" ca="1" si="4"/>
        <v>105.00983903836818</v>
      </c>
      <c r="E122" s="11">
        <f>+E117*(1+C121*F122/365)</f>
        <v>105.00983903836818</v>
      </c>
      <c r="F122" s="12">
        <f t="shared" si="5"/>
        <v>5</v>
      </c>
      <c r="G122" s="20">
        <f t="shared" ca="1" si="6"/>
        <v>0.18735659803751137</v>
      </c>
      <c r="H122" s="20">
        <f t="shared" ca="1" si="8"/>
        <v>0.18314522161543653</v>
      </c>
      <c r="I122" s="20">
        <f t="shared" ca="1" si="7"/>
        <v>0.15857267303423608</v>
      </c>
      <c r="J122" s="13"/>
      <c r="K122" s="36">
        <v>17</v>
      </c>
      <c r="N122" s="3"/>
      <c r="O122" s="3"/>
    </row>
    <row r="123" spans="1:15" x14ac:dyDescent="0.25">
      <c r="A123" s="8" t="s">
        <v>7</v>
      </c>
      <c r="B123" s="8">
        <v>44687</v>
      </c>
      <c r="C123" s="9">
        <v>0.18</v>
      </c>
      <c r="D123" s="10">
        <f t="shared" ca="1" si="4"/>
        <v>105.0617291190154</v>
      </c>
      <c r="E123" s="11">
        <f>+E122*(1+C122*F123/365)</f>
        <v>105.0617291190154</v>
      </c>
      <c r="F123" s="12">
        <f t="shared" si="5"/>
        <v>1</v>
      </c>
      <c r="G123" s="20">
        <f t="shared" ca="1" si="6"/>
        <v>0.18740860199000817</v>
      </c>
      <c r="H123" s="20">
        <f t="shared" ca="1" si="8"/>
        <v>0.18301387745810327</v>
      </c>
      <c r="I123" s="20">
        <f t="shared" ca="1" si="7"/>
        <v>0.15915718025115744</v>
      </c>
      <c r="J123" s="13"/>
      <c r="K123" s="36">
        <v>17</v>
      </c>
      <c r="N123" s="3"/>
      <c r="O123" s="3"/>
    </row>
    <row r="124" spans="1:15" x14ac:dyDescent="0.25">
      <c r="A124" s="8" t="s">
        <v>7</v>
      </c>
      <c r="B124" s="8">
        <v>44688</v>
      </c>
      <c r="C124" s="9">
        <v>0.18</v>
      </c>
      <c r="D124" s="10">
        <f t="shared" ca="1" si="4"/>
        <v>105.11354038269053</v>
      </c>
      <c r="E124" s="11">
        <f>+E123*(1+C123*F124/365)</f>
        <v>105.11354038269053</v>
      </c>
      <c r="F124" s="12">
        <f t="shared" si="5"/>
        <v>1</v>
      </c>
      <c r="G124" s="20">
        <f t="shared" ca="1" si="6"/>
        <v>0.18734143023751076</v>
      </c>
      <c r="H124" s="20">
        <f t="shared" ca="1" si="8"/>
        <v>0.18295156291374562</v>
      </c>
      <c r="I124" s="20">
        <f t="shared" ca="1" si="7"/>
        <v>0.1597381115615879</v>
      </c>
      <c r="J124" s="13"/>
      <c r="K124" s="36">
        <v>17</v>
      </c>
      <c r="N124" s="3"/>
      <c r="O124" s="3"/>
    </row>
    <row r="125" spans="1:15" x14ac:dyDescent="0.25">
      <c r="A125" s="14" t="s">
        <v>6</v>
      </c>
      <c r="B125" s="14">
        <v>44689</v>
      </c>
      <c r="C125" s="15">
        <v>0.18</v>
      </c>
      <c r="D125" s="16">
        <f t="shared" ca="1" si="4"/>
        <v>105.16537719712584</v>
      </c>
      <c r="E125" s="17">
        <f>+E124*(1+C124*F125/365)</f>
        <v>105.16537719712584</v>
      </c>
      <c r="F125" s="18">
        <f t="shared" si="5"/>
        <v>1</v>
      </c>
      <c r="G125" s="15">
        <f t="shared" ca="1" si="6"/>
        <v>0.18590847209042885</v>
      </c>
      <c r="H125" s="15">
        <f t="shared" ca="1" si="8"/>
        <v>0.18295156291374562</v>
      </c>
      <c r="I125" s="15">
        <f t="shared" ca="1" si="7"/>
        <v>0.16031965467320852</v>
      </c>
      <c r="J125" s="19"/>
      <c r="K125" s="36">
        <v>17</v>
      </c>
      <c r="N125" s="3"/>
      <c r="O125" s="3"/>
    </row>
    <row r="126" spans="1:15" x14ac:dyDescent="0.25">
      <c r="A126" s="14" t="s">
        <v>6</v>
      </c>
      <c r="B126" s="14">
        <v>44690</v>
      </c>
      <c r="C126" s="15">
        <v>0.18</v>
      </c>
      <c r="D126" s="16">
        <f t="shared" ca="1" si="4"/>
        <v>105.21721401156113</v>
      </c>
      <c r="E126" s="17">
        <f>+E124*(1+C125*F126/365)</f>
        <v>105.21721401156113</v>
      </c>
      <c r="F126" s="18">
        <f t="shared" si="5"/>
        <v>2</v>
      </c>
      <c r="G126" s="15">
        <f t="shared" ca="1" si="6"/>
        <v>0.18447700423864852</v>
      </c>
      <c r="H126" s="15">
        <f t="shared" ca="1" si="8"/>
        <v>0.18294856247631847</v>
      </c>
      <c r="I126" s="15">
        <f t="shared" ca="1" si="7"/>
        <v>0.16095368162263521</v>
      </c>
      <c r="J126" s="19"/>
      <c r="K126" s="36">
        <v>17</v>
      </c>
      <c r="N126" s="3"/>
      <c r="O126" s="3"/>
    </row>
    <row r="127" spans="1:15" x14ac:dyDescent="0.25">
      <c r="A127" s="8" t="s">
        <v>7</v>
      </c>
      <c r="B127" s="8">
        <v>44691</v>
      </c>
      <c r="C127" s="9">
        <v>0.18</v>
      </c>
      <c r="D127" s="10">
        <f t="shared" ca="1" si="4"/>
        <v>105.26905082599643</v>
      </c>
      <c r="E127" s="11">
        <f>+E124*(1+C126*F127/365)</f>
        <v>105.26905082599643</v>
      </c>
      <c r="F127" s="12">
        <f t="shared" si="5"/>
        <v>3</v>
      </c>
      <c r="G127" s="20">
        <f t="shared" ca="1" si="6"/>
        <v>0.18304702435849188</v>
      </c>
      <c r="H127" s="20">
        <f t="shared" ca="1" si="8"/>
        <v>0.18294556499531373</v>
      </c>
      <c r="I127" s="20">
        <f t="shared" ca="1" si="7"/>
        <v>0.16155278072070348</v>
      </c>
      <c r="J127" s="13"/>
      <c r="K127" s="36">
        <v>17</v>
      </c>
      <c r="N127" s="3"/>
      <c r="O127" s="3"/>
    </row>
    <row r="128" spans="1:15" x14ac:dyDescent="0.25">
      <c r="A128" s="8" t="s">
        <v>7</v>
      </c>
      <c r="B128" s="8">
        <v>44692</v>
      </c>
      <c r="C128" s="9">
        <v>0.18</v>
      </c>
      <c r="D128" s="10">
        <f t="shared" ca="1" si="4"/>
        <v>105.32096433051336</v>
      </c>
      <c r="E128" s="11">
        <f>+E127*(1+C127*F128/365)</f>
        <v>105.32096433051336</v>
      </c>
      <c r="F128" s="12">
        <f t="shared" si="5"/>
        <v>1</v>
      </c>
      <c r="G128" s="20">
        <f t="shared" ca="1" si="6"/>
        <v>0.18165663053454287</v>
      </c>
      <c r="H128" s="20">
        <f t="shared" ca="1" si="8"/>
        <v>0.18295156291374562</v>
      </c>
      <c r="I128" s="20">
        <f t="shared" ca="1" si="7"/>
        <v>0.16215401338335778</v>
      </c>
      <c r="J128" s="13"/>
      <c r="K128" s="36">
        <v>17</v>
      </c>
      <c r="N128" s="3"/>
      <c r="O128" s="3"/>
    </row>
    <row r="129" spans="1:15" x14ac:dyDescent="0.25">
      <c r="A129" s="8" t="s">
        <v>7</v>
      </c>
      <c r="B129" s="8">
        <v>44693</v>
      </c>
      <c r="C129" s="9">
        <v>0.18</v>
      </c>
      <c r="D129" s="10">
        <f t="shared" ca="1" si="4"/>
        <v>105.37290343621061</v>
      </c>
      <c r="E129" s="11">
        <f>+E128*(1+C128*F129/365)</f>
        <v>105.37290343621061</v>
      </c>
      <c r="F129" s="12">
        <f t="shared" si="5"/>
        <v>1</v>
      </c>
      <c r="G129" s="20">
        <f t="shared" ca="1" si="6"/>
        <v>0.18028039280622418</v>
      </c>
      <c r="H129" s="20">
        <f t="shared" ca="1" si="8"/>
        <v>0.18295156291374562</v>
      </c>
      <c r="I129" s="20">
        <f t="shared" ca="1" si="7"/>
        <v>0.16273157611018629</v>
      </c>
      <c r="J129" s="13"/>
      <c r="K129" s="36">
        <v>17</v>
      </c>
      <c r="N129" s="3"/>
      <c r="O129" s="3"/>
    </row>
    <row r="130" spans="1:15" x14ac:dyDescent="0.25">
      <c r="A130" s="8" t="s">
        <v>7</v>
      </c>
      <c r="B130" s="8">
        <v>44694</v>
      </c>
      <c r="C130" s="9">
        <v>0.18</v>
      </c>
      <c r="D130" s="10">
        <f t="shared" ca="1" si="4"/>
        <v>105.4248681557134</v>
      </c>
      <c r="E130" s="11">
        <f>+E129*(1+C129*F130/365)</f>
        <v>105.4248681557134</v>
      </c>
      <c r="F130" s="12">
        <f t="shared" si="5"/>
        <v>1</v>
      </c>
      <c r="G130" s="20">
        <f t="shared" ca="1" si="6"/>
        <v>0.18022839593748491</v>
      </c>
      <c r="H130" s="20">
        <f t="shared" ca="1" si="8"/>
        <v>0.18295156291374831</v>
      </c>
      <c r="I130" s="20">
        <f t="shared" ca="1" si="7"/>
        <v>0.16332490609649206</v>
      </c>
      <c r="J130" s="13"/>
      <c r="K130" s="36">
        <v>17</v>
      </c>
      <c r="N130" s="3"/>
      <c r="O130" s="3"/>
    </row>
    <row r="131" spans="1:15" x14ac:dyDescent="0.25">
      <c r="A131" s="14" t="s">
        <v>6</v>
      </c>
      <c r="B131" s="14">
        <v>44695</v>
      </c>
      <c r="C131" s="15">
        <v>0.18</v>
      </c>
      <c r="D131" s="16">
        <f t="shared" ref="D131:D194" ca="1" si="10">+IF(F131=1,D130*(1+C130*F131/365),OFFSET(D130,-F131+1,0)*(1+C130*F131/365))</f>
        <v>105.4768585016532</v>
      </c>
      <c r="E131" s="17">
        <f>+E130*(1+C130*F131/365)</f>
        <v>105.4768585016532</v>
      </c>
      <c r="F131" s="18">
        <f t="shared" si="5"/>
        <v>1</v>
      </c>
      <c r="G131" s="15">
        <f t="shared" ca="1" si="6"/>
        <v>0.18022839593748491</v>
      </c>
      <c r="H131" s="15">
        <f t="shared" ca="1" si="8"/>
        <v>0.18295156291374831</v>
      </c>
      <c r="I131" s="15">
        <f t="shared" ca="1" si="7"/>
        <v>0.16391884330029757</v>
      </c>
      <c r="J131" s="19"/>
      <c r="K131" s="36">
        <v>17</v>
      </c>
      <c r="N131" s="3"/>
      <c r="O131" s="3"/>
    </row>
    <row r="132" spans="1:15" x14ac:dyDescent="0.25">
      <c r="A132" s="14" t="s">
        <v>6</v>
      </c>
      <c r="B132" s="14">
        <v>44696</v>
      </c>
      <c r="C132" s="15">
        <v>0.18</v>
      </c>
      <c r="D132" s="16">
        <f t="shared" ca="1" si="10"/>
        <v>105.528848847593</v>
      </c>
      <c r="E132" s="17">
        <f>+E130*(1+C131*F132/365)</f>
        <v>105.528848847593</v>
      </c>
      <c r="F132" s="18">
        <f t="shared" si="5"/>
        <v>2</v>
      </c>
      <c r="G132" s="15">
        <f t="shared" ca="1" si="6"/>
        <v>0.18021568363000998</v>
      </c>
      <c r="H132" s="15">
        <f t="shared" ca="1" si="8"/>
        <v>0.18294856247632116</v>
      </c>
      <c r="I132" s="15">
        <f t="shared" ca="1" si="7"/>
        <v>0.16451236228650046</v>
      </c>
      <c r="J132" s="19"/>
      <c r="K132" s="36">
        <v>17</v>
      </c>
      <c r="N132" s="3"/>
      <c r="O132" s="3"/>
    </row>
    <row r="133" spans="1:15" x14ac:dyDescent="0.25">
      <c r="A133" s="8" t="s">
        <v>7</v>
      </c>
      <c r="B133" s="8">
        <v>44697</v>
      </c>
      <c r="C133" s="9">
        <v>0.18</v>
      </c>
      <c r="D133" s="10">
        <f t="shared" ca="1" si="10"/>
        <v>105.58083919353281</v>
      </c>
      <c r="E133" s="11">
        <f>+E130*(1+C132*F133/365)</f>
        <v>105.58083919353281</v>
      </c>
      <c r="F133" s="12">
        <f t="shared" si="5"/>
        <v>3</v>
      </c>
      <c r="G133" s="20">
        <f t="shared" ca="1" si="6"/>
        <v>0.18020298384836511</v>
      </c>
      <c r="H133" s="20">
        <f t="shared" ca="1" si="8"/>
        <v>0.18294256455935073</v>
      </c>
      <c r="I133" s="20">
        <f t="shared" ca="1" si="7"/>
        <v>0.16510020021170679</v>
      </c>
      <c r="J133" s="13"/>
      <c r="K133" s="36">
        <v>17</v>
      </c>
      <c r="N133" s="3"/>
      <c r="O133" s="3"/>
    </row>
    <row r="134" spans="1:15" x14ac:dyDescent="0.25">
      <c r="A134" s="8" t="s">
        <v>7</v>
      </c>
      <c r="B134" s="8">
        <v>44698</v>
      </c>
      <c r="C134" s="9">
        <v>0.18</v>
      </c>
      <c r="D134" s="10">
        <f t="shared" ca="1" si="10"/>
        <v>105.63290645669674</v>
      </c>
      <c r="E134" s="11">
        <f>+E133*(1+C133*F134/365)</f>
        <v>105.63290645669674</v>
      </c>
      <c r="F134" s="12">
        <f t="shared" si="5"/>
        <v>1</v>
      </c>
      <c r="G134" s="20">
        <f t="shared" ca="1" si="6"/>
        <v>0.18022839593748491</v>
      </c>
      <c r="H134" s="20">
        <f t="shared" ca="1" si="8"/>
        <v>0.18294556499531642</v>
      </c>
      <c r="I134" s="20">
        <f t="shared" ca="1" si="7"/>
        <v>0.16567816638207994</v>
      </c>
      <c r="J134" s="13"/>
      <c r="K134" s="36">
        <v>17</v>
      </c>
      <c r="N134" s="3"/>
      <c r="O134" s="3"/>
    </row>
    <row r="135" spans="1:15" x14ac:dyDescent="0.25">
      <c r="A135" s="8" t="s">
        <v>7</v>
      </c>
      <c r="B135" s="8">
        <v>44699</v>
      </c>
      <c r="C135" s="9">
        <v>0.17744565217391306</v>
      </c>
      <c r="D135" s="10">
        <f t="shared" ca="1" si="10"/>
        <v>105.68499939686717</v>
      </c>
      <c r="E135" s="11">
        <f>+E134*(1+C134*F135/365)</f>
        <v>105.68499939686717</v>
      </c>
      <c r="F135" s="12">
        <f t="shared" ref="F135:F198" si="11">IF(A134="Working day",1,(IF(A133="Working day",2,(IF(A132="Working day",3,IF(A131="Working day",4,IF(A130="Working day",5,6)))))))</f>
        <v>1</v>
      </c>
      <c r="G135" s="20">
        <f t="shared" ca="1" si="6"/>
        <v>0.18022839593748491</v>
      </c>
      <c r="H135" s="20">
        <f t="shared" ca="1" si="8"/>
        <v>0.18295156291374831</v>
      </c>
      <c r="I135" s="20">
        <f t="shared" ca="1" si="7"/>
        <v>0.16631402493656572</v>
      </c>
      <c r="J135" s="13"/>
      <c r="K135" s="36">
        <v>17</v>
      </c>
      <c r="N135" s="3"/>
      <c r="O135" s="3"/>
    </row>
    <row r="136" spans="1:15" x14ac:dyDescent="0.25">
      <c r="A136" s="8" t="s">
        <v>7</v>
      </c>
      <c r="B136" s="8">
        <v>44700</v>
      </c>
      <c r="C136" s="9">
        <v>0.18</v>
      </c>
      <c r="D136" s="10">
        <f t="shared" ca="1" si="10"/>
        <v>105.73637842054654</v>
      </c>
      <c r="E136" s="11">
        <f>+E135*(1+C135*F136/365)</f>
        <v>105.73637842054654</v>
      </c>
      <c r="F136" s="12">
        <f t="shared" si="11"/>
        <v>1</v>
      </c>
      <c r="G136" s="20">
        <f t="shared" ca="1" si="6"/>
        <v>0.17986240831547967</v>
      </c>
      <c r="H136" s="20">
        <f t="shared" ca="1" si="8"/>
        <v>0.18286518025183299</v>
      </c>
      <c r="I136" s="20">
        <f t="shared" ca="1" si="7"/>
        <v>0.1668626223009006</v>
      </c>
      <c r="J136" s="13"/>
      <c r="K136" s="36">
        <v>17</v>
      </c>
      <c r="N136" s="3"/>
      <c r="O136" s="3"/>
    </row>
    <row r="137" spans="1:15" x14ac:dyDescent="0.25">
      <c r="A137" s="8" t="s">
        <v>7</v>
      </c>
      <c r="B137" s="8">
        <v>44701</v>
      </c>
      <c r="C137" s="9">
        <v>0.17493811881188118</v>
      </c>
      <c r="D137" s="10">
        <f t="shared" ca="1" si="10"/>
        <v>105.78852238798682</v>
      </c>
      <c r="E137" s="11">
        <f>+E136*(1+C136*F137/365)</f>
        <v>105.78852238798682</v>
      </c>
      <c r="F137" s="12">
        <f t="shared" si="11"/>
        <v>1</v>
      </c>
      <c r="G137" s="20">
        <f t="shared" ref="G137:G200" ca="1" si="12">(D137/OFFSET(D137,-7,0)-1)*365/7</f>
        <v>0.17986240831547967</v>
      </c>
      <c r="H137" s="20">
        <f t="shared" ca="1" si="8"/>
        <v>0.18286518025183299</v>
      </c>
      <c r="I137" s="20">
        <f t="shared" ca="1" si="7"/>
        <v>0.16744082981299951</v>
      </c>
      <c r="J137" s="13"/>
      <c r="K137" s="36">
        <v>17</v>
      </c>
      <c r="N137" s="3"/>
      <c r="O137" s="3"/>
    </row>
    <row r="138" spans="1:15" x14ac:dyDescent="0.25">
      <c r="A138" s="14" t="s">
        <v>6</v>
      </c>
      <c r="B138" s="14">
        <v>44702</v>
      </c>
      <c r="C138" s="15">
        <v>0.17493811881188118</v>
      </c>
      <c r="D138" s="16">
        <f t="shared" ca="1" si="10"/>
        <v>105.83922497729762</v>
      </c>
      <c r="E138" s="17">
        <f>+E137*(1+C137*F138/365)</f>
        <v>105.83922497729762</v>
      </c>
      <c r="F138" s="18">
        <f t="shared" si="11"/>
        <v>1</v>
      </c>
      <c r="G138" s="15">
        <f t="shared" ca="1" si="12"/>
        <v>0.17913714573317283</v>
      </c>
      <c r="H138" s="15">
        <f t="shared" ca="1" si="8"/>
        <v>0.18269399929192823</v>
      </c>
      <c r="I138" s="15">
        <f t="shared" ca="1" si="7"/>
        <v>0.16796110751762619</v>
      </c>
      <c r="J138" s="19"/>
      <c r="K138" s="36">
        <v>17</v>
      </c>
      <c r="N138" s="3"/>
      <c r="O138" s="3"/>
    </row>
    <row r="139" spans="1:15" x14ac:dyDescent="0.25">
      <c r="A139" s="14" t="s">
        <v>6</v>
      </c>
      <c r="B139" s="14">
        <v>44703</v>
      </c>
      <c r="C139" s="15">
        <v>0.17493811881188118</v>
      </c>
      <c r="D139" s="16">
        <f t="shared" ca="1" si="10"/>
        <v>105.88992756660842</v>
      </c>
      <c r="E139" s="17">
        <f>+E137*(1+C138*F139/365)</f>
        <v>105.88992756660842</v>
      </c>
      <c r="F139" s="18">
        <f t="shared" si="11"/>
        <v>2</v>
      </c>
      <c r="G139" s="15">
        <f t="shared" ca="1" si="12"/>
        <v>0.1784125977735061</v>
      </c>
      <c r="H139" s="15">
        <f t="shared" ca="1" si="8"/>
        <v>0.18251998666838093</v>
      </c>
      <c r="I139" s="15">
        <f t="shared" ca="1" si="7"/>
        <v>0.16848101500904672</v>
      </c>
      <c r="J139" s="19"/>
      <c r="K139" s="36">
        <v>17</v>
      </c>
      <c r="N139" s="3"/>
      <c r="O139" s="3"/>
    </row>
    <row r="140" spans="1:15" x14ac:dyDescent="0.25">
      <c r="A140" s="8" t="s">
        <v>7</v>
      </c>
      <c r="B140" s="8">
        <v>44704</v>
      </c>
      <c r="C140" s="9">
        <v>0.17781921241050122</v>
      </c>
      <c r="D140" s="10">
        <f t="shared" ca="1" si="10"/>
        <v>105.94063015591921</v>
      </c>
      <c r="E140" s="11">
        <f>+E137*(1+C139*F140/365)</f>
        <v>105.94063015591921</v>
      </c>
      <c r="F140" s="12">
        <f t="shared" si="11"/>
        <v>3</v>
      </c>
      <c r="G140" s="20">
        <f t="shared" ca="1" si="12"/>
        <v>0.17768876338079378</v>
      </c>
      <c r="H140" s="20">
        <f t="shared" ca="1" si="8"/>
        <v>0.18234314521427464</v>
      </c>
      <c r="I140" s="20">
        <f t="shared" ca="1" si="7"/>
        <v>0.16899894727632148</v>
      </c>
      <c r="J140" s="13"/>
      <c r="K140" s="36">
        <v>17</v>
      </c>
      <c r="N140" s="3"/>
      <c r="O140" s="3"/>
    </row>
    <row r="141" spans="1:15" x14ac:dyDescent="0.25">
      <c r="A141" s="8" t="s">
        <v>7</v>
      </c>
      <c r="B141" s="8">
        <v>44705</v>
      </c>
      <c r="C141" s="9">
        <v>0.17393204758471523</v>
      </c>
      <c r="D141" s="10">
        <f t="shared" ca="1" si="10"/>
        <v>105.99224188034823</v>
      </c>
      <c r="E141" s="11">
        <f>+E140*(1+C140*F141/365)</f>
        <v>105.99224188034823</v>
      </c>
      <c r="F141" s="12">
        <f t="shared" si="11"/>
        <v>1</v>
      </c>
      <c r="G141" s="20">
        <f t="shared" ca="1" si="12"/>
        <v>0.17737631473303064</v>
      </c>
      <c r="H141" s="20">
        <f t="shared" ca="1" si="8"/>
        <v>0.18227239947831098</v>
      </c>
      <c r="I141" s="20">
        <f t="shared" ca="1" si="7"/>
        <v>0.16955679109365493</v>
      </c>
      <c r="J141" s="13"/>
      <c r="K141" s="36">
        <v>17</v>
      </c>
      <c r="N141" s="3"/>
      <c r="O141" s="3"/>
    </row>
    <row r="142" spans="1:15" x14ac:dyDescent="0.25">
      <c r="A142" s="8" t="s">
        <v>7</v>
      </c>
      <c r="B142" s="8">
        <v>44706</v>
      </c>
      <c r="C142" s="9">
        <v>0.17295560747663552</v>
      </c>
      <c r="D142" s="10">
        <f t="shared" ca="1" si="10"/>
        <v>106.04274995612452</v>
      </c>
      <c r="E142" s="11">
        <f>+E141*(1+C141*F142/365)</f>
        <v>106.04274995612452</v>
      </c>
      <c r="F142" s="12">
        <f t="shared" si="11"/>
        <v>1</v>
      </c>
      <c r="G142" s="20">
        <f t="shared" ca="1" si="12"/>
        <v>0.17650694432124081</v>
      </c>
      <c r="H142" s="20">
        <f t="shared" ca="1" si="8"/>
        <v>0.18207320288877823</v>
      </c>
      <c r="I142" s="20">
        <f t="shared" ca="1" si="7"/>
        <v>0.17006515205184555</v>
      </c>
      <c r="J142" s="13"/>
      <c r="K142" s="36">
        <v>17</v>
      </c>
      <c r="N142" s="3"/>
      <c r="O142" s="3"/>
    </row>
    <row r="143" spans="1:15" x14ac:dyDescent="0.25">
      <c r="A143" s="8" t="s">
        <v>7</v>
      </c>
      <c r="B143" s="8">
        <v>44707</v>
      </c>
      <c r="C143" s="9">
        <v>0.17</v>
      </c>
      <c r="D143" s="10">
        <f t="shared" ca="1" si="10"/>
        <v>106.09299841704824</v>
      </c>
      <c r="E143" s="11">
        <f>+E142*(1+C142*F143/365)</f>
        <v>106.09299841704824</v>
      </c>
      <c r="F143" s="12">
        <f t="shared" si="11"/>
        <v>1</v>
      </c>
      <c r="G143" s="20">
        <f t="shared" ca="1" si="12"/>
        <v>0.17586365080440647</v>
      </c>
      <c r="H143" s="20">
        <f t="shared" ca="1" si="8"/>
        <v>0.18183499331867545</v>
      </c>
      <c r="I143" s="20">
        <f t="shared" ca="1" si="7"/>
        <v>0.17056227391107617</v>
      </c>
      <c r="J143" s="13"/>
      <c r="K143" s="36">
        <v>17</v>
      </c>
      <c r="N143" s="3"/>
      <c r="O143" s="3"/>
    </row>
    <row r="144" spans="1:15" x14ac:dyDescent="0.25">
      <c r="A144" s="8" t="s">
        <v>7</v>
      </c>
      <c r="B144" s="8">
        <v>44708</v>
      </c>
      <c r="C144" s="9">
        <v>0.17</v>
      </c>
      <c r="D144" s="10">
        <f t="shared" ca="1" si="10"/>
        <v>106.14241159439315</v>
      </c>
      <c r="E144" s="11">
        <f>+E143*(1+C143*F144/365)</f>
        <v>106.14241159439315</v>
      </c>
      <c r="F144" s="12">
        <f t="shared" si="11"/>
        <v>1</v>
      </c>
      <c r="G144" s="20">
        <f t="shared" ca="1" si="12"/>
        <v>0.17443096772226521</v>
      </c>
      <c r="H144" s="20">
        <f t="shared" ca="1" si="8"/>
        <v>0.18149684496279678</v>
      </c>
      <c r="I144" s="20">
        <f t="shared" ca="1" si="7"/>
        <v>0.17102524521767587</v>
      </c>
      <c r="J144" s="13"/>
      <c r="K144" s="36">
        <v>17</v>
      </c>
      <c r="N144" s="3"/>
      <c r="O144" s="3"/>
    </row>
    <row r="145" spans="1:15" x14ac:dyDescent="0.25">
      <c r="A145" s="14" t="s">
        <v>6</v>
      </c>
      <c r="B145" s="14">
        <v>44709</v>
      </c>
      <c r="C145" s="15">
        <v>0.17</v>
      </c>
      <c r="D145" s="16">
        <f t="shared" ca="1" si="10"/>
        <v>106.19184778609464</v>
      </c>
      <c r="E145" s="17">
        <f>+E144*(1+C144*F145/365)</f>
        <v>106.19184778609464</v>
      </c>
      <c r="F145" s="18">
        <f t="shared" si="11"/>
        <v>1</v>
      </c>
      <c r="G145" s="15">
        <f t="shared" ca="1" si="12"/>
        <v>0.17372350136123499</v>
      </c>
      <c r="H145" s="15">
        <f t="shared" ca="1" si="8"/>
        <v>0.18115870586668806</v>
      </c>
      <c r="I145" s="15">
        <f t="shared" ca="1" si="7"/>
        <v>0.17148880307458109</v>
      </c>
      <c r="J145" s="19"/>
      <c r="K145" s="36">
        <v>17</v>
      </c>
      <c r="N145" s="3"/>
      <c r="O145" s="3"/>
    </row>
    <row r="146" spans="1:15" x14ac:dyDescent="0.25">
      <c r="A146" s="14" t="s">
        <v>6</v>
      </c>
      <c r="B146" s="14">
        <v>44710</v>
      </c>
      <c r="C146" s="15">
        <v>0.17</v>
      </c>
      <c r="D146" s="16">
        <f t="shared" ca="1" si="10"/>
        <v>106.24128397779614</v>
      </c>
      <c r="E146" s="17">
        <f>+E144*(1+C145*F146/365)</f>
        <v>106.24128397779614</v>
      </c>
      <c r="F146" s="18">
        <f t="shared" si="11"/>
        <v>2</v>
      </c>
      <c r="G146" s="15">
        <f t="shared" ca="1" si="12"/>
        <v>0.17301671250331249</v>
      </c>
      <c r="H146" s="15">
        <f t="shared" ca="1" si="8"/>
        <v>0.18081790002925632</v>
      </c>
      <c r="I146" s="15">
        <f t="shared" ca="1" si="7"/>
        <v>0.17195203107833743</v>
      </c>
      <c r="J146" s="19"/>
      <c r="K146" s="36">
        <v>17</v>
      </c>
      <c r="N146" s="3"/>
      <c r="O146" s="3"/>
    </row>
    <row r="147" spans="1:15" x14ac:dyDescent="0.25">
      <c r="A147" s="8" t="s">
        <v>7</v>
      </c>
      <c r="B147" s="8">
        <v>44711</v>
      </c>
      <c r="C147" s="9">
        <v>0.17665441176470587</v>
      </c>
      <c r="D147" s="10">
        <f t="shared" ca="1" si="10"/>
        <v>106.29072016949766</v>
      </c>
      <c r="E147" s="11">
        <f>+E144*(1+C146*F147/365)</f>
        <v>106.29072016949766</v>
      </c>
      <c r="F147" s="12">
        <f t="shared" si="11"/>
        <v>3</v>
      </c>
      <c r="G147" s="20">
        <f t="shared" ca="1" si="12"/>
        <v>0.17231060017573399</v>
      </c>
      <c r="H147" s="20">
        <f t="shared" ca="1" si="8"/>
        <v>0.18045858122417224</v>
      </c>
      <c r="I147" s="20">
        <f t="shared" ca="1" si="7"/>
        <v>0.17241332287741698</v>
      </c>
      <c r="J147" s="13"/>
      <c r="K147" s="36">
        <v>17</v>
      </c>
      <c r="N147" s="3"/>
      <c r="O147" s="3"/>
    </row>
    <row r="148" spans="1:15" x14ac:dyDescent="0.25">
      <c r="A148" s="8" t="s">
        <v>7</v>
      </c>
      <c r="B148" s="8">
        <v>44712</v>
      </c>
      <c r="C148" s="9">
        <v>0.18</v>
      </c>
      <c r="D148" s="10">
        <f t="shared" ca="1" si="10"/>
        <v>106.34216325072394</v>
      </c>
      <c r="E148" s="11">
        <f>+E147*(1+C147*F148/365)</f>
        <v>106.34216325072394</v>
      </c>
      <c r="F148" s="12">
        <f t="shared" si="11"/>
        <v>1</v>
      </c>
      <c r="G148" s="20">
        <f t="shared" ca="1" si="12"/>
        <v>0.17214373149433621</v>
      </c>
      <c r="H148" s="20">
        <f t="shared" ca="1" si="8"/>
        <v>0.1800073650094679</v>
      </c>
      <c r="I148" s="20">
        <f t="shared" ca="1" si="7"/>
        <v>0.17295355074415786</v>
      </c>
      <c r="J148" s="13"/>
      <c r="K148" s="36">
        <v>17</v>
      </c>
      <c r="N148" s="3"/>
      <c r="O148" s="3"/>
    </row>
    <row r="149" spans="1:15" x14ac:dyDescent="0.25">
      <c r="A149" s="8" t="s">
        <v>7</v>
      </c>
      <c r="B149" s="8">
        <v>44713</v>
      </c>
      <c r="C149" s="9">
        <v>0.18</v>
      </c>
      <c r="D149" s="10">
        <f t="shared" ca="1" si="10"/>
        <v>106.39460596136813</v>
      </c>
      <c r="E149" s="11">
        <f>+E148*(1+C148*F149/365)</f>
        <v>106.39460596136813</v>
      </c>
      <c r="F149" s="12">
        <f t="shared" si="11"/>
        <v>1</v>
      </c>
      <c r="G149" s="20">
        <f t="shared" ca="1" si="12"/>
        <v>0.17301302940432306</v>
      </c>
      <c r="H149" s="20">
        <f t="shared" ca="1" si="8"/>
        <v>0.17967261796837919</v>
      </c>
      <c r="I149" s="20">
        <f t="shared" ca="1" si="7"/>
        <v>0.17353259233294691</v>
      </c>
      <c r="J149" s="13"/>
      <c r="K149" s="36">
        <v>17</v>
      </c>
      <c r="N149" s="3"/>
      <c r="O149" s="3"/>
    </row>
    <row r="150" spans="1:15" x14ac:dyDescent="0.25">
      <c r="A150" s="8" t="s">
        <v>7</v>
      </c>
      <c r="B150" s="8">
        <v>44714</v>
      </c>
      <c r="C150" s="9">
        <v>0.17733088235294114</v>
      </c>
      <c r="D150" s="10">
        <f t="shared" ca="1" si="10"/>
        <v>106.44707453417099</v>
      </c>
      <c r="E150" s="11">
        <f>+E149*(1+C149*F150/365)</f>
        <v>106.44707453417099</v>
      </c>
      <c r="F150" s="12">
        <f t="shared" si="11"/>
        <v>1</v>
      </c>
      <c r="G150" s="20">
        <f t="shared" ca="1" si="12"/>
        <v>0.17402223208221188</v>
      </c>
      <c r="H150" s="20">
        <f t="shared" ca="1" si="8"/>
        <v>0.1793412184479303</v>
      </c>
      <c r="I150" s="20">
        <f t="shared" ca="1" si="7"/>
        <v>0.17411171321426164</v>
      </c>
      <c r="J150" s="13"/>
      <c r="K150" s="36">
        <v>17</v>
      </c>
      <c r="N150" s="3"/>
      <c r="O150" s="3"/>
    </row>
    <row r="151" spans="1:15" x14ac:dyDescent="0.25">
      <c r="A151" s="8" t="s">
        <v>7</v>
      </c>
      <c r="B151" s="8">
        <v>44715</v>
      </c>
      <c r="C151" s="9">
        <v>0.17679705882352942</v>
      </c>
      <c r="D151" s="10">
        <f t="shared" ca="1" si="10"/>
        <v>106.49879057157109</v>
      </c>
      <c r="E151" s="11">
        <f>+E150*(1+C150*F151/365)</f>
        <v>106.49879057157109</v>
      </c>
      <c r="F151" s="12">
        <f t="shared" si="11"/>
        <v>1</v>
      </c>
      <c r="G151" s="20">
        <f t="shared" ca="1" si="12"/>
        <v>0.17507250698916771</v>
      </c>
      <c r="H151" s="20">
        <f t="shared" ca="1" si="8"/>
        <v>0.17892292756031417</v>
      </c>
      <c r="I151" s="20">
        <f t="shared" ca="1" si="7"/>
        <v>0.17465999433027615</v>
      </c>
      <c r="J151" s="13"/>
      <c r="K151" s="36">
        <v>17</v>
      </c>
      <c r="N151" s="3"/>
      <c r="O151" s="3"/>
    </row>
    <row r="152" spans="1:15" x14ac:dyDescent="0.25">
      <c r="A152" s="14" t="s">
        <v>6</v>
      </c>
      <c r="B152" s="14">
        <v>44716</v>
      </c>
      <c r="C152" s="15">
        <v>0.17679705882352942</v>
      </c>
      <c r="D152" s="16">
        <f t="shared" ca="1" si="10"/>
        <v>106.55037597688977</v>
      </c>
      <c r="E152" s="17">
        <f>+E151*(1+C151*F152/365)</f>
        <v>106.55037597688977</v>
      </c>
      <c r="F152" s="18">
        <f t="shared" si="11"/>
        <v>1</v>
      </c>
      <c r="G152" s="15">
        <f t="shared" ca="1" si="12"/>
        <v>0.17604632204889012</v>
      </c>
      <c r="H152" s="15">
        <f t="shared" ca="1" si="8"/>
        <v>0.17848993570812891</v>
      </c>
      <c r="I152" s="15">
        <f t="shared" ca="1" si="7"/>
        <v>0.1752026982058347</v>
      </c>
      <c r="J152" s="19"/>
      <c r="K152" s="36">
        <v>17</v>
      </c>
      <c r="N152" s="3"/>
      <c r="O152" s="3"/>
    </row>
    <row r="153" spans="1:15" x14ac:dyDescent="0.25">
      <c r="A153" s="14" t="s">
        <v>6</v>
      </c>
      <c r="B153" s="14">
        <v>44717</v>
      </c>
      <c r="C153" s="15">
        <v>0.17679705882352942</v>
      </c>
      <c r="D153" s="16">
        <f t="shared" ca="1" si="10"/>
        <v>106.60196138220844</v>
      </c>
      <c r="E153" s="17">
        <f>+E151*(1+C152*F153/365)</f>
        <v>106.60196138220844</v>
      </c>
      <c r="F153" s="18">
        <f t="shared" si="11"/>
        <v>2</v>
      </c>
      <c r="G153" s="15">
        <f t="shared" ca="1" si="12"/>
        <v>0.17701923083739524</v>
      </c>
      <c r="H153" s="15">
        <f t="shared" ca="1" si="8"/>
        <v>0.17836649646501654</v>
      </c>
      <c r="I153" s="15">
        <f t="shared" ca="1" si="7"/>
        <v>0.17574501591043193</v>
      </c>
      <c r="J153" s="19"/>
      <c r="K153" s="36">
        <v>17</v>
      </c>
      <c r="N153" s="3"/>
      <c r="O153" s="3"/>
    </row>
    <row r="154" spans="1:15" x14ac:dyDescent="0.25">
      <c r="A154" s="8" t="s">
        <v>7</v>
      </c>
      <c r="B154" s="8">
        <v>44718</v>
      </c>
      <c r="C154" s="9">
        <v>0.17815647058823525</v>
      </c>
      <c r="D154" s="10">
        <f t="shared" ca="1" si="10"/>
        <v>106.65354678752712</v>
      </c>
      <c r="E154" s="11">
        <f>+E151*(1+C153*F154/365)</f>
        <v>106.65354678752712</v>
      </c>
      <c r="F154" s="12">
        <f t="shared" si="11"/>
        <v>3</v>
      </c>
      <c r="G154" s="20">
        <f t="shared" ca="1" si="12"/>
        <v>0.17799123461922503</v>
      </c>
      <c r="H154" s="20">
        <f t="shared" ca="1" si="8"/>
        <v>0.17825243564209803</v>
      </c>
      <c r="I154" s="20">
        <f t="shared" ca="1" si="7"/>
        <v>0.1762853396811955</v>
      </c>
      <c r="J154" s="13"/>
      <c r="K154" s="36">
        <v>17</v>
      </c>
      <c r="N154" s="3"/>
      <c r="O154" s="3"/>
    </row>
    <row r="155" spans="1:15" x14ac:dyDescent="0.25">
      <c r="A155" s="8" t="s">
        <v>7</v>
      </c>
      <c r="B155" s="8">
        <v>44719</v>
      </c>
      <c r="C155" s="9">
        <v>0.17</v>
      </c>
      <c r="D155" s="10">
        <f t="shared" ca="1" si="10"/>
        <v>106.70560437511996</v>
      </c>
      <c r="E155" s="11">
        <f>+E154*(1+C154*F155/365)</f>
        <v>106.70560437511996</v>
      </c>
      <c r="F155" s="12">
        <f t="shared" si="11"/>
        <v>1</v>
      </c>
      <c r="G155" s="20">
        <f t="shared" ca="1" si="12"/>
        <v>0.17820644276852735</v>
      </c>
      <c r="H155" s="20">
        <f t="shared" ca="1" si="8"/>
        <v>0.17819011508387675</v>
      </c>
      <c r="I155" s="20">
        <f t="shared" ca="1" si="7"/>
        <v>0.17684400760147642</v>
      </c>
      <c r="J155" s="13"/>
      <c r="K155" s="36">
        <v>17</v>
      </c>
      <c r="N155" s="3"/>
      <c r="O155" s="3"/>
    </row>
    <row r="156" spans="1:15" x14ac:dyDescent="0.25">
      <c r="A156" s="8" t="s">
        <v>7</v>
      </c>
      <c r="B156" s="8">
        <v>44720</v>
      </c>
      <c r="C156" s="9">
        <v>0.17</v>
      </c>
      <c r="D156" s="10">
        <f t="shared" ca="1" si="10"/>
        <v>106.75530287578782</v>
      </c>
      <c r="E156" s="11">
        <f>+E155*(1+C155*F156/365)</f>
        <v>106.75530287578782</v>
      </c>
      <c r="F156" s="12">
        <f t="shared" si="11"/>
        <v>1</v>
      </c>
      <c r="G156" s="20">
        <f t="shared" ca="1" si="12"/>
        <v>0.17677369553193323</v>
      </c>
      <c r="H156" s="20">
        <f t="shared" ca="1" si="8"/>
        <v>0.17785506573764551</v>
      </c>
      <c r="I156" s="20">
        <f t="shared" ref="I156:I219" ca="1" si="13">($D156/OFFSET($D156,-90,0)-1)*365/90</f>
        <v>0.17730766707214723</v>
      </c>
      <c r="J156" s="13"/>
      <c r="K156" s="36">
        <v>17</v>
      </c>
      <c r="N156" s="3"/>
      <c r="O156" s="3"/>
    </row>
    <row r="157" spans="1:15" x14ac:dyDescent="0.25">
      <c r="A157" s="8" t="s">
        <v>7</v>
      </c>
      <c r="B157" s="8">
        <v>44721</v>
      </c>
      <c r="C157" s="9">
        <v>0.17</v>
      </c>
      <c r="D157" s="10">
        <f t="shared" ca="1" si="10"/>
        <v>106.80502452370257</v>
      </c>
      <c r="E157" s="11">
        <f>+E156*(1+C156*F157/365)</f>
        <v>106.80502452370257</v>
      </c>
      <c r="F157" s="12">
        <f t="shared" si="11"/>
        <v>1</v>
      </c>
      <c r="G157" s="20">
        <f t="shared" ca="1" si="12"/>
        <v>0.17534098752935737</v>
      </c>
      <c r="H157" s="20">
        <f t="shared" ca="1" si="8"/>
        <v>0.1775230216490474</v>
      </c>
      <c r="I157" s="20">
        <f t="shared" ca="1" si="13"/>
        <v>0.17777137733672488</v>
      </c>
      <c r="J157" s="13"/>
      <c r="K157" s="36">
        <v>17</v>
      </c>
      <c r="N157" s="3"/>
      <c r="O157" s="3"/>
    </row>
    <row r="158" spans="1:15" x14ac:dyDescent="0.25">
      <c r="A158" s="8" t="s">
        <v>7</v>
      </c>
      <c r="B158" s="8">
        <v>44722</v>
      </c>
      <c r="C158" s="9">
        <v>0.17</v>
      </c>
      <c r="D158" s="10">
        <f t="shared" ca="1" si="10"/>
        <v>106.85476932964511</v>
      </c>
      <c r="E158" s="11">
        <f>+E157*(1+C157*F158/365)</f>
        <v>106.85476932964511</v>
      </c>
      <c r="F158" s="12">
        <f t="shared" si="11"/>
        <v>1</v>
      </c>
      <c r="G158" s="20">
        <f t="shared" ca="1" si="12"/>
        <v>0.17429070723268492</v>
      </c>
      <c r="H158" s="20">
        <f t="shared" ca="1" si="8"/>
        <v>0.17718499137114591</v>
      </c>
      <c r="I158" s="20">
        <f t="shared" ca="1" si="13"/>
        <v>0.17823513840077093</v>
      </c>
      <c r="J158" s="13"/>
      <c r="K158" s="36">
        <v>16</v>
      </c>
      <c r="N158" s="3"/>
      <c r="O158" s="3"/>
    </row>
    <row r="159" spans="1:15" x14ac:dyDescent="0.25">
      <c r="A159" s="14" t="s">
        <v>6</v>
      </c>
      <c r="B159" s="14">
        <v>44723</v>
      </c>
      <c r="C159" s="15">
        <v>0.17</v>
      </c>
      <c r="D159" s="16">
        <f t="shared" ca="1" si="10"/>
        <v>106.90453730440137</v>
      </c>
      <c r="E159" s="17">
        <f>+E158*(1+C158*F159/365)</f>
        <v>106.90453730440137</v>
      </c>
      <c r="F159" s="18">
        <f t="shared" si="11"/>
        <v>1</v>
      </c>
      <c r="G159" s="15">
        <f t="shared" ca="1" si="12"/>
        <v>0.17331692485033665</v>
      </c>
      <c r="H159" s="15">
        <f t="shared" ca="1" si="8"/>
        <v>0.17684697034978597</v>
      </c>
      <c r="I159" s="15">
        <f t="shared" ca="1" si="13"/>
        <v>0.17869948701569013</v>
      </c>
      <c r="J159" s="19"/>
      <c r="K159" s="36">
        <v>16</v>
      </c>
      <c r="N159" s="3"/>
      <c r="O159" s="3"/>
    </row>
    <row r="160" spans="1:15" x14ac:dyDescent="0.25">
      <c r="A160" s="14" t="s">
        <v>6</v>
      </c>
      <c r="B160" s="14">
        <v>44724</v>
      </c>
      <c r="C160" s="15">
        <v>0.17</v>
      </c>
      <c r="D160" s="16">
        <f t="shared" ca="1" si="10"/>
        <v>106.95430527915765</v>
      </c>
      <c r="E160" s="17">
        <f>+E158*(1+C159*F160/365)</f>
        <v>106.95430527915765</v>
      </c>
      <c r="F160" s="18">
        <f t="shared" si="11"/>
        <v>2</v>
      </c>
      <c r="G160" s="15">
        <f t="shared" ca="1" si="12"/>
        <v>0.17234408490767153</v>
      </c>
      <c r="H160" s="15">
        <f t="shared" ref="H160:H223" ca="1" si="14">($D160/OFFSET($D160,-30,0)-1)*365/30</f>
        <v>0.17650628351830047</v>
      </c>
      <c r="I160" s="15">
        <f t="shared" ca="1" si="13"/>
        <v>0.17916350521477872</v>
      </c>
      <c r="J160" s="19"/>
      <c r="K160" s="36">
        <v>16</v>
      </c>
      <c r="N160" s="3"/>
      <c r="O160" s="3"/>
    </row>
    <row r="161" spans="1:15" x14ac:dyDescent="0.25">
      <c r="A161" s="8" t="s">
        <v>7</v>
      </c>
      <c r="B161" s="8">
        <v>44725</v>
      </c>
      <c r="C161" s="9">
        <v>0.17</v>
      </c>
      <c r="D161" s="10">
        <f t="shared" ca="1" si="10"/>
        <v>107.00407325391394</v>
      </c>
      <c r="E161" s="11">
        <f>+E158*(1+C160*F161/365)</f>
        <v>107.00407325391394</v>
      </c>
      <c r="F161" s="12">
        <f t="shared" si="11"/>
        <v>3</v>
      </c>
      <c r="G161" s="20">
        <f t="shared" ca="1" si="12"/>
        <v>0.17137218603719559</v>
      </c>
      <c r="H161" s="20">
        <f t="shared" ca="1" si="14"/>
        <v>0.17616293358681215</v>
      </c>
      <c r="I161" s="20">
        <f t="shared" ca="1" si="13"/>
        <v>0.17962558390632669</v>
      </c>
      <c r="J161" s="13"/>
      <c r="K161" s="36">
        <v>16</v>
      </c>
      <c r="N161" s="3"/>
      <c r="O161" s="3"/>
    </row>
    <row r="162" spans="1:15" x14ac:dyDescent="0.25">
      <c r="A162" s="8" t="s">
        <v>7</v>
      </c>
      <c r="B162" s="8">
        <v>44726</v>
      </c>
      <c r="C162" s="9">
        <v>0.17</v>
      </c>
      <c r="D162" s="10">
        <f t="shared" ca="1" si="10"/>
        <v>107.05391076748425</v>
      </c>
      <c r="E162" s="11">
        <f>+E161*(1+C161*F162/365)</f>
        <v>107.05391076748425</v>
      </c>
      <c r="F162" s="12">
        <f t="shared" si="11"/>
        <v>1</v>
      </c>
      <c r="G162" s="20">
        <f t="shared" ca="1" si="12"/>
        <v>0.17020371671527385</v>
      </c>
      <c r="H162" s="20">
        <f t="shared" ca="1" si="14"/>
        <v>0.17582793925991844</v>
      </c>
      <c r="I162" s="20">
        <f t="shared" ca="1" si="13"/>
        <v>0.18008954809874644</v>
      </c>
      <c r="J162" s="13"/>
      <c r="K162" s="36">
        <v>16</v>
      </c>
      <c r="N162" s="3"/>
      <c r="O162" s="3"/>
    </row>
    <row r="163" spans="1:15" x14ac:dyDescent="0.25">
      <c r="A163" s="8" t="s">
        <v>7</v>
      </c>
      <c r="B163" s="8">
        <v>44727</v>
      </c>
      <c r="C163" s="9">
        <v>0.17</v>
      </c>
      <c r="D163" s="10">
        <f t="shared" ca="1" si="10"/>
        <v>107.10377149304719</v>
      </c>
      <c r="E163" s="11">
        <f>+E162*(1+C162*F163/365)</f>
        <v>107.10377149304719</v>
      </c>
      <c r="F163" s="12">
        <f t="shared" si="11"/>
        <v>1</v>
      </c>
      <c r="G163" s="20">
        <f t="shared" ca="1" si="12"/>
        <v>0.17020371671527385</v>
      </c>
      <c r="H163" s="20">
        <f t="shared" ca="1" si="14"/>
        <v>0.17549594969715357</v>
      </c>
      <c r="I163" s="20">
        <f t="shared" ca="1" si="13"/>
        <v>0.18055356311845425</v>
      </c>
      <c r="J163" s="13"/>
      <c r="K163" s="36">
        <v>16</v>
      </c>
      <c r="N163" s="3"/>
      <c r="O163" s="3"/>
    </row>
    <row r="164" spans="1:15" x14ac:dyDescent="0.25">
      <c r="A164" s="8" t="s">
        <v>7</v>
      </c>
      <c r="B164" s="8">
        <v>44728</v>
      </c>
      <c r="C164" s="9">
        <v>0.17</v>
      </c>
      <c r="D164" s="10">
        <f t="shared" ca="1" si="10"/>
        <v>107.1536554414138</v>
      </c>
      <c r="E164" s="11">
        <f>+E163*(1+C163*F164/365)</f>
        <v>107.1536554414138</v>
      </c>
      <c r="F164" s="12">
        <f t="shared" si="11"/>
        <v>1</v>
      </c>
      <c r="G164" s="20">
        <f t="shared" ca="1" si="12"/>
        <v>0.17020371671527385</v>
      </c>
      <c r="H164" s="20">
        <f t="shared" ca="1" si="14"/>
        <v>0.17515797492809834</v>
      </c>
      <c r="I164" s="20">
        <f t="shared" ca="1" si="13"/>
        <v>0.18071984169380381</v>
      </c>
      <c r="J164" s="13"/>
      <c r="K164" s="36">
        <v>16</v>
      </c>
      <c r="N164" s="3"/>
      <c r="O164" s="3"/>
    </row>
    <row r="165" spans="1:15" x14ac:dyDescent="0.25">
      <c r="A165" s="8" t="s">
        <v>7</v>
      </c>
      <c r="B165" s="8">
        <v>44729</v>
      </c>
      <c r="C165" s="9">
        <v>0.17</v>
      </c>
      <c r="D165" s="10">
        <f t="shared" ca="1" si="10"/>
        <v>107.20356262340022</v>
      </c>
      <c r="E165" s="11">
        <f>+E164*(1+C164*F165/365)</f>
        <v>107.20356262340022</v>
      </c>
      <c r="F165" s="12">
        <f t="shared" si="11"/>
        <v>1</v>
      </c>
      <c r="G165" s="20">
        <f t="shared" ca="1" si="12"/>
        <v>0.17020371671527385</v>
      </c>
      <c r="H165" s="20">
        <f t="shared" ca="1" si="14"/>
        <v>0.17482000941406101</v>
      </c>
      <c r="I165" s="20">
        <f t="shared" ca="1" si="13"/>
        <v>0.18083585317910561</v>
      </c>
      <c r="J165" s="13"/>
      <c r="K165" s="36">
        <v>16</v>
      </c>
      <c r="N165" s="3"/>
      <c r="O165" s="3"/>
    </row>
    <row r="166" spans="1:15" x14ac:dyDescent="0.25">
      <c r="A166" s="14" t="s">
        <v>6</v>
      </c>
      <c r="B166" s="14">
        <v>44730</v>
      </c>
      <c r="C166" s="15">
        <v>0.17</v>
      </c>
      <c r="D166" s="16">
        <f t="shared" ca="1" si="10"/>
        <v>107.25349304982755</v>
      </c>
      <c r="E166" s="17">
        <f>+E165*(1+C165*F166/365)</f>
        <v>107.25349304982755</v>
      </c>
      <c r="F166" s="18">
        <f t="shared" si="11"/>
        <v>1</v>
      </c>
      <c r="G166" s="15">
        <f t="shared" ca="1" si="12"/>
        <v>0.17020371671528542</v>
      </c>
      <c r="H166" s="15">
        <f t="shared" ca="1" si="14"/>
        <v>0.17456837717830317</v>
      </c>
      <c r="I166" s="15">
        <f t="shared" ca="1" si="13"/>
        <v>0.18095268119918737</v>
      </c>
      <c r="J166" s="19"/>
      <c r="K166" s="36">
        <v>16</v>
      </c>
      <c r="N166" s="3"/>
      <c r="O166" s="3"/>
    </row>
    <row r="167" spans="1:15" x14ac:dyDescent="0.25">
      <c r="A167" s="14" t="s">
        <v>6</v>
      </c>
      <c r="B167" s="14">
        <v>44731</v>
      </c>
      <c r="C167" s="15">
        <v>0.17</v>
      </c>
      <c r="D167" s="16">
        <f t="shared" ca="1" si="10"/>
        <v>107.30342347625488</v>
      </c>
      <c r="E167" s="17">
        <f>+E165*(1+C166*F167/365)</f>
        <v>107.30342347625488</v>
      </c>
      <c r="F167" s="18">
        <f t="shared" si="11"/>
        <v>2</v>
      </c>
      <c r="G167" s="15">
        <f t="shared" ca="1" si="12"/>
        <v>0.17020371671527385</v>
      </c>
      <c r="H167" s="15">
        <f t="shared" ca="1" si="14"/>
        <v>0.17422775323706741</v>
      </c>
      <c r="I167" s="15">
        <f t="shared" ca="1" si="13"/>
        <v>0.18106940692922188</v>
      </c>
      <c r="J167" s="19"/>
      <c r="K167" s="36">
        <v>16</v>
      </c>
      <c r="N167" s="3"/>
      <c r="O167" s="3"/>
    </row>
    <row r="168" spans="1:15" x14ac:dyDescent="0.25">
      <c r="A168" s="8" t="s">
        <v>7</v>
      </c>
      <c r="B168" s="8">
        <v>44732</v>
      </c>
      <c r="C168" s="9">
        <v>0.17</v>
      </c>
      <c r="D168" s="10">
        <f t="shared" ca="1" si="10"/>
        <v>107.35335390268224</v>
      </c>
      <c r="E168" s="11">
        <f>+E165*(1+C167*F168/365)</f>
        <v>107.35335390268224</v>
      </c>
      <c r="F168" s="12">
        <f t="shared" si="11"/>
        <v>3</v>
      </c>
      <c r="G168" s="20">
        <f t="shared" ca="1" si="12"/>
        <v>0.17020371671527385</v>
      </c>
      <c r="H168" s="20">
        <f t="shared" ca="1" si="14"/>
        <v>0.17405552553379444</v>
      </c>
      <c r="I168" s="20">
        <f t="shared" ca="1" si="13"/>
        <v>0.18118603050349469</v>
      </c>
      <c r="J168" s="13"/>
      <c r="K168" s="36">
        <v>16</v>
      </c>
      <c r="N168" s="3"/>
      <c r="O168" s="3"/>
    </row>
    <row r="169" spans="1:15" x14ac:dyDescent="0.25">
      <c r="A169" s="8" t="s">
        <v>7</v>
      </c>
      <c r="B169" s="8">
        <v>44733</v>
      </c>
      <c r="C169" s="9">
        <v>0.17</v>
      </c>
      <c r="D169" s="10">
        <f t="shared" ca="1" si="10"/>
        <v>107.40335409491088</v>
      </c>
      <c r="E169" s="11">
        <f>+E168*(1+C168*F169/365)</f>
        <v>107.40335409491088</v>
      </c>
      <c r="F169" s="12">
        <f t="shared" si="11"/>
        <v>1</v>
      </c>
      <c r="G169" s="20">
        <f t="shared" ca="1" si="12"/>
        <v>0.17020371671527385</v>
      </c>
      <c r="H169" s="20">
        <f t="shared" ca="1" si="14"/>
        <v>0.1738914787977735</v>
      </c>
      <c r="I169" s="20">
        <f t="shared" ca="1" si="13"/>
        <v>0.1813053041860479</v>
      </c>
      <c r="J169" s="21"/>
      <c r="K169" s="36">
        <v>16</v>
      </c>
      <c r="N169" s="3"/>
      <c r="O169" s="3"/>
    </row>
    <row r="170" spans="1:15" x14ac:dyDescent="0.25">
      <c r="A170" s="8" t="s">
        <v>7</v>
      </c>
      <c r="B170" s="8">
        <v>44734</v>
      </c>
      <c r="C170" s="9">
        <v>0.17</v>
      </c>
      <c r="D170" s="10">
        <f t="shared" ca="1" si="10"/>
        <v>107.45337757490029</v>
      </c>
      <c r="E170" s="11">
        <f>+E169*(1+C169*F170/365)</f>
        <v>107.45337757490029</v>
      </c>
      <c r="F170" s="12">
        <f t="shared" si="11"/>
        <v>1</v>
      </c>
      <c r="G170" s="20">
        <f t="shared" ca="1" si="12"/>
        <v>0.17020371671527385</v>
      </c>
      <c r="H170" s="20">
        <f t="shared" ca="1" si="14"/>
        <v>0.17373026354964349</v>
      </c>
      <c r="I170" s="20">
        <f t="shared" ca="1" si="13"/>
        <v>0.1814253918310415</v>
      </c>
      <c r="J170" s="21"/>
      <c r="K170" s="36">
        <v>16</v>
      </c>
      <c r="N170" s="3"/>
      <c r="O170" s="3"/>
    </row>
    <row r="171" spans="1:15" x14ac:dyDescent="0.25">
      <c r="A171" s="8" t="s">
        <v>7</v>
      </c>
      <c r="B171" s="8">
        <v>44735</v>
      </c>
      <c r="C171" s="9">
        <v>0.17</v>
      </c>
      <c r="D171" s="10">
        <f t="shared" ca="1" si="10"/>
        <v>107.50342435349681</v>
      </c>
      <c r="E171" s="11">
        <f>+E170*(1+C170*F171/365)</f>
        <v>107.50342435349681</v>
      </c>
      <c r="F171" s="12">
        <f t="shared" si="11"/>
        <v>1</v>
      </c>
      <c r="G171" s="20">
        <f t="shared" ca="1" si="12"/>
        <v>0.17020371671527385</v>
      </c>
      <c r="H171" s="20">
        <f t="shared" ca="1" si="14"/>
        <v>0.17346603012759471</v>
      </c>
      <c r="I171" s="20">
        <f t="shared" ca="1" si="13"/>
        <v>0.18142754852194873</v>
      </c>
      <c r="J171" s="13"/>
      <c r="K171" s="36">
        <v>16</v>
      </c>
      <c r="N171" s="3"/>
      <c r="O171" s="3"/>
    </row>
    <row r="172" spans="1:15" x14ac:dyDescent="0.25">
      <c r="A172" s="8" t="s">
        <v>7</v>
      </c>
      <c r="B172" s="8">
        <v>44736</v>
      </c>
      <c r="C172" s="9">
        <v>0.17</v>
      </c>
      <c r="D172" s="10">
        <f t="shared" ca="1" si="10"/>
        <v>107.55349444155186</v>
      </c>
      <c r="E172" s="11">
        <f>+E171*(1+C171*F172/365)</f>
        <v>107.55349444155186</v>
      </c>
      <c r="F172" s="12">
        <f t="shared" si="11"/>
        <v>1</v>
      </c>
      <c r="G172" s="20">
        <f t="shared" ca="1" si="12"/>
        <v>0.17020371671527385</v>
      </c>
      <c r="H172" s="20">
        <f t="shared" ca="1" si="14"/>
        <v>0.17333315648928835</v>
      </c>
      <c r="I172" s="20">
        <f t="shared" ca="1" si="13"/>
        <v>0.18140388511235672</v>
      </c>
      <c r="J172" s="13"/>
      <c r="K172" s="36">
        <v>16</v>
      </c>
      <c r="N172" s="3"/>
      <c r="O172" s="3"/>
    </row>
    <row r="173" spans="1:15" x14ac:dyDescent="0.25">
      <c r="A173" s="14" t="s">
        <v>6</v>
      </c>
      <c r="B173" s="14">
        <v>44737</v>
      </c>
      <c r="C173" s="15">
        <v>0.17</v>
      </c>
      <c r="D173" s="16">
        <f t="shared" ca="1" si="10"/>
        <v>107.60358784992189</v>
      </c>
      <c r="E173" s="17">
        <f>+E172*(1+C172*F173/365)</f>
        <v>107.60358784992189</v>
      </c>
      <c r="F173" s="18">
        <f t="shared" si="11"/>
        <v>1</v>
      </c>
      <c r="G173" s="15">
        <f t="shared" ca="1" si="12"/>
        <v>0.17020371671527385</v>
      </c>
      <c r="H173" s="15">
        <f t="shared" ca="1" si="14"/>
        <v>0.17323327999192067</v>
      </c>
      <c r="I173" s="15">
        <f t="shared" ca="1" si="13"/>
        <v>0.18138116223608144</v>
      </c>
      <c r="J173" s="19"/>
      <c r="K173" s="36">
        <v>16</v>
      </c>
      <c r="N173" s="3"/>
      <c r="O173" s="3"/>
    </row>
    <row r="174" spans="1:15" x14ac:dyDescent="0.25">
      <c r="A174" s="14" t="s">
        <v>6</v>
      </c>
      <c r="B174" s="14">
        <v>44738</v>
      </c>
      <c r="C174" s="15">
        <v>0.17</v>
      </c>
      <c r="D174" s="16">
        <f t="shared" ca="1" si="10"/>
        <v>107.65368125829193</v>
      </c>
      <c r="E174" s="17">
        <f>+E172*(1+C173*F174/365)</f>
        <v>107.65368125829193</v>
      </c>
      <c r="F174" s="18">
        <f t="shared" si="11"/>
        <v>2</v>
      </c>
      <c r="G174" s="15">
        <f t="shared" ca="1" si="12"/>
        <v>0.17020371671527385</v>
      </c>
      <c r="H174" s="15">
        <f t="shared" ca="1" si="14"/>
        <v>0.17323060563542969</v>
      </c>
      <c r="I174" s="15">
        <f t="shared" ca="1" si="13"/>
        <v>0.18135846075000528</v>
      </c>
      <c r="J174" s="19"/>
      <c r="K174" s="36">
        <v>16</v>
      </c>
      <c r="N174" s="3"/>
      <c r="O174" s="3"/>
    </row>
    <row r="175" spans="1:15" x14ac:dyDescent="0.25">
      <c r="A175" s="8" t="s">
        <v>7</v>
      </c>
      <c r="B175" s="8">
        <v>44739</v>
      </c>
      <c r="C175" s="9">
        <v>0.17</v>
      </c>
      <c r="D175" s="10">
        <f t="shared" ca="1" si="10"/>
        <v>107.70377466666199</v>
      </c>
      <c r="E175" s="11">
        <f>+E172*(1+C174*F175/365)</f>
        <v>107.70377466666199</v>
      </c>
      <c r="F175" s="12">
        <f t="shared" si="11"/>
        <v>3</v>
      </c>
      <c r="G175" s="20">
        <f t="shared" ca="1" si="12"/>
        <v>0.17020371671527385</v>
      </c>
      <c r="H175" s="20">
        <f t="shared" ca="1" si="14"/>
        <v>0.1732252594124731</v>
      </c>
      <c r="I175" s="20">
        <f t="shared" ca="1" si="13"/>
        <v>0.18124060255918065</v>
      </c>
      <c r="J175" s="13"/>
      <c r="K175" s="36">
        <v>16</v>
      </c>
      <c r="N175" s="3"/>
      <c r="O175" s="3"/>
    </row>
    <row r="176" spans="1:15" x14ac:dyDescent="0.25">
      <c r="A176" s="8" t="s">
        <v>7</v>
      </c>
      <c r="B176" s="8">
        <v>44740</v>
      </c>
      <c r="C176" s="9">
        <v>0.17</v>
      </c>
      <c r="D176" s="10">
        <f t="shared" ca="1" si="10"/>
        <v>107.75393806856152</v>
      </c>
      <c r="E176" s="11">
        <f>+E175*(1+C175*F176/365)</f>
        <v>107.75393806856152</v>
      </c>
      <c r="F176" s="12">
        <f t="shared" si="11"/>
        <v>1</v>
      </c>
      <c r="G176" s="20">
        <f t="shared" ca="1" si="12"/>
        <v>0.17020371671527385</v>
      </c>
      <c r="H176" s="20">
        <f t="shared" ca="1" si="14"/>
        <v>0.17322793376780513</v>
      </c>
      <c r="I176" s="20">
        <f t="shared" ca="1" si="13"/>
        <v>0.18113406450956346</v>
      </c>
      <c r="J176" s="13"/>
      <c r="K176" s="36">
        <v>16</v>
      </c>
      <c r="N176" s="3"/>
      <c r="O176" s="3"/>
    </row>
    <row r="177" spans="1:15" x14ac:dyDescent="0.25">
      <c r="A177" s="8" t="s">
        <v>7</v>
      </c>
      <c r="B177" s="8">
        <v>44741</v>
      </c>
      <c r="C177" s="9">
        <v>0.17</v>
      </c>
      <c r="D177" s="10">
        <f t="shared" ca="1" si="10"/>
        <v>107.80412483423729</v>
      </c>
      <c r="E177" s="11">
        <f>+E176*(1+C176*F177/365)</f>
        <v>107.80412483423729</v>
      </c>
      <c r="F177" s="12">
        <f t="shared" si="11"/>
        <v>1</v>
      </c>
      <c r="G177" s="20">
        <f t="shared" ca="1" si="12"/>
        <v>0.17020371671527385</v>
      </c>
      <c r="H177" s="20">
        <f t="shared" ca="1" si="14"/>
        <v>0.17323327999192067</v>
      </c>
      <c r="I177" s="20">
        <f t="shared" ca="1" si="13"/>
        <v>0.18101804803494634</v>
      </c>
      <c r="J177" s="13"/>
      <c r="K177" s="36">
        <v>16</v>
      </c>
      <c r="N177" s="3"/>
      <c r="O177" s="3"/>
    </row>
    <row r="178" spans="1:15" x14ac:dyDescent="0.25">
      <c r="A178" s="8" t="s">
        <v>7</v>
      </c>
      <c r="B178" s="8">
        <v>44742</v>
      </c>
      <c r="C178" s="9">
        <v>0.17</v>
      </c>
      <c r="D178" s="10">
        <f t="shared" ca="1" si="10"/>
        <v>107.85433497457103</v>
      </c>
      <c r="E178" s="11">
        <f>+E177*(1+C177*F178/365)</f>
        <v>107.85433497457103</v>
      </c>
      <c r="F178" s="12">
        <f t="shared" si="11"/>
        <v>1</v>
      </c>
      <c r="G178" s="20">
        <f t="shared" ca="1" si="12"/>
        <v>0.17020371671527385</v>
      </c>
      <c r="H178" s="20">
        <f t="shared" ca="1" si="14"/>
        <v>0.17300841683490137</v>
      </c>
      <c r="I178" s="20">
        <f t="shared" ca="1" si="13"/>
        <v>0.18090203473729577</v>
      </c>
      <c r="J178" s="13"/>
      <c r="K178" s="36">
        <v>16</v>
      </c>
      <c r="N178" s="3"/>
      <c r="O178" s="3"/>
    </row>
    <row r="179" spans="1:15" x14ac:dyDescent="0.25">
      <c r="A179" s="8" t="s">
        <v>7</v>
      </c>
      <c r="B179" s="8">
        <v>44743</v>
      </c>
      <c r="C179" s="9">
        <v>0.16398952095808383</v>
      </c>
      <c r="D179" s="10">
        <f t="shared" ca="1" si="10"/>
        <v>107.9045685004496</v>
      </c>
      <c r="E179" s="11">
        <f>+E178*(1+C178*F179/365)</f>
        <v>107.9045685004496</v>
      </c>
      <c r="F179" s="12">
        <f t="shared" si="11"/>
        <v>1</v>
      </c>
      <c r="G179" s="20">
        <f t="shared" ca="1" si="12"/>
        <v>0.17020371671527385</v>
      </c>
      <c r="H179" s="20">
        <f t="shared" ca="1" si="14"/>
        <v>0.17267051018383761</v>
      </c>
      <c r="I179" s="20">
        <f t="shared" ca="1" si="13"/>
        <v>0.18078602461652524</v>
      </c>
      <c r="J179" s="13"/>
      <c r="K179" s="36">
        <v>16</v>
      </c>
      <c r="N179" s="3"/>
      <c r="O179" s="3"/>
    </row>
    <row r="180" spans="1:15" x14ac:dyDescent="0.25">
      <c r="A180" s="14" t="s">
        <v>6</v>
      </c>
      <c r="B180" s="14">
        <v>44744</v>
      </c>
      <c r="C180" s="15">
        <v>0.16398952095808383</v>
      </c>
      <c r="D180" s="16">
        <f t="shared" ca="1" si="10"/>
        <v>107.95304855112789</v>
      </c>
      <c r="E180" s="17">
        <f>+E179*(1+C179*F180/365)</f>
        <v>107.95304855112789</v>
      </c>
      <c r="F180" s="18">
        <f t="shared" si="11"/>
        <v>1</v>
      </c>
      <c r="G180" s="15">
        <f t="shared" ca="1" si="12"/>
        <v>0.16934267512940407</v>
      </c>
      <c r="H180" s="15">
        <f t="shared" ca="1" si="14"/>
        <v>0.17212952026308279</v>
      </c>
      <c r="I180" s="15">
        <f t="shared" ca="1" si="13"/>
        <v>0.18060132114981617</v>
      </c>
      <c r="J180" s="19"/>
      <c r="K180" s="36">
        <v>16</v>
      </c>
      <c r="N180" s="3"/>
      <c r="O180" s="3"/>
    </row>
    <row r="181" spans="1:15" x14ac:dyDescent="0.25">
      <c r="A181" s="14" t="s">
        <v>6</v>
      </c>
      <c r="B181" s="14">
        <v>44745</v>
      </c>
      <c r="C181" s="15">
        <v>0.16398952095808383</v>
      </c>
      <c r="D181" s="16">
        <f t="shared" ca="1" si="10"/>
        <v>108.00152860180619</v>
      </c>
      <c r="E181" s="17">
        <f>+E179*(1+C180*F181/365)</f>
        <v>108.00152860180619</v>
      </c>
      <c r="F181" s="18">
        <f t="shared" si="11"/>
        <v>2</v>
      </c>
      <c r="G181" s="15">
        <f t="shared" ca="1" si="12"/>
        <v>0.1684824348632219</v>
      </c>
      <c r="H181" s="15">
        <f t="shared" ca="1" si="14"/>
        <v>0.17167624724251332</v>
      </c>
      <c r="I181" s="15">
        <f t="shared" ca="1" si="13"/>
        <v>0.18041679958727086</v>
      </c>
      <c r="J181" s="19"/>
      <c r="K181" s="36">
        <v>16</v>
      </c>
      <c r="N181" s="3"/>
      <c r="O181" s="3"/>
    </row>
    <row r="182" spans="1:15" x14ac:dyDescent="0.25">
      <c r="A182" s="8" t="s">
        <v>7</v>
      </c>
      <c r="B182" s="8">
        <v>44746</v>
      </c>
      <c r="C182" s="9">
        <v>0.16079918032786886</v>
      </c>
      <c r="D182" s="10">
        <f t="shared" ca="1" si="10"/>
        <v>108.05000865248448</v>
      </c>
      <c r="E182" s="11">
        <f>+E179*(1+C181*F182/365)</f>
        <v>108.05000865248448</v>
      </c>
      <c r="F182" s="12">
        <f t="shared" si="11"/>
        <v>3</v>
      </c>
      <c r="G182" s="20">
        <f t="shared" ca="1" si="12"/>
        <v>0.16762299479864756</v>
      </c>
      <c r="H182" s="20">
        <f t="shared" ca="1" si="14"/>
        <v>0.17123854063508639</v>
      </c>
      <c r="I182" s="20">
        <f t="shared" ca="1" si="13"/>
        <v>0.18022937534626421</v>
      </c>
      <c r="J182" s="20">
        <f t="shared" ref="J182:J245" ca="1" si="15">($D182/OFFSET($D182,-180,0)-1)*365/180</f>
        <v>0.16323628656426872</v>
      </c>
      <c r="K182" s="36">
        <v>16</v>
      </c>
      <c r="M182" s="3"/>
      <c r="N182" s="3"/>
      <c r="O182" s="3"/>
    </row>
    <row r="183" spans="1:15" x14ac:dyDescent="0.25">
      <c r="A183" s="8" t="s">
        <v>7</v>
      </c>
      <c r="B183" s="8">
        <v>44747</v>
      </c>
      <c r="C183" s="9">
        <v>0.16695774025719054</v>
      </c>
      <c r="D183" s="10">
        <f t="shared" ca="1" si="10"/>
        <v>108.09760961913034</v>
      </c>
      <c r="E183" s="11">
        <f>+E182*(1+C182*F183/365)</f>
        <v>108.09760961913034</v>
      </c>
      <c r="F183" s="12">
        <f t="shared" si="11"/>
        <v>1</v>
      </c>
      <c r="G183" s="20">
        <f t="shared" ca="1" si="12"/>
        <v>0.16630498046365597</v>
      </c>
      <c r="H183" s="20">
        <f t="shared" ca="1" si="14"/>
        <v>0.17070092626131833</v>
      </c>
      <c r="I183" s="20">
        <f t="shared" ca="1" si="13"/>
        <v>0.17995740612273181</v>
      </c>
      <c r="J183" s="20">
        <f t="shared" ca="1" si="15"/>
        <v>0.16342110138986074</v>
      </c>
      <c r="K183" s="36">
        <v>16</v>
      </c>
      <c r="M183" s="3"/>
      <c r="N183" s="3"/>
      <c r="O183" s="3"/>
    </row>
    <row r="184" spans="1:15" x14ac:dyDescent="0.25">
      <c r="A184" s="8" t="s">
        <v>7</v>
      </c>
      <c r="B184" s="8">
        <v>44748</v>
      </c>
      <c r="C184" s="9">
        <v>0.16434928830862866</v>
      </c>
      <c r="D184" s="10">
        <f t="shared" ca="1" si="10"/>
        <v>108.1470554619501</v>
      </c>
      <c r="E184" s="11">
        <f>+E183*(1+C183*F184/365)</f>
        <v>108.1470554619501</v>
      </c>
      <c r="F184" s="12">
        <f t="shared" si="11"/>
        <v>1</v>
      </c>
      <c r="G184" s="20">
        <f t="shared" ca="1" si="12"/>
        <v>0.16586918875539122</v>
      </c>
      <c r="H184" s="20">
        <f t="shared" ca="1" si="14"/>
        <v>0.17037428902087484</v>
      </c>
      <c r="I184" s="20">
        <f t="shared" ca="1" si="13"/>
        <v>0.17978476547847069</v>
      </c>
      <c r="J184" s="20">
        <f t="shared" ca="1" si="15"/>
        <v>0.16364289022952919</v>
      </c>
      <c r="K184" s="36">
        <v>16</v>
      </c>
      <c r="M184" s="3"/>
      <c r="N184" s="3"/>
      <c r="O184" s="3"/>
    </row>
    <row r="185" spans="1:15" x14ac:dyDescent="0.25">
      <c r="A185" s="8" t="s">
        <v>7</v>
      </c>
      <c r="B185" s="8">
        <v>44749</v>
      </c>
      <c r="C185" s="9">
        <v>0.16</v>
      </c>
      <c r="D185" s="10">
        <f t="shared" ca="1" si="10"/>
        <v>108.19575105536885</v>
      </c>
      <c r="E185" s="11">
        <f>+E184*(1+C184*F185/365)</f>
        <v>108.19575105536885</v>
      </c>
      <c r="F185" s="12">
        <f t="shared" si="11"/>
        <v>1</v>
      </c>
      <c r="G185" s="20">
        <f t="shared" ca="1" si="12"/>
        <v>0.16505975333779493</v>
      </c>
      <c r="H185" s="20">
        <f t="shared" ca="1" si="14"/>
        <v>0.16990783238800103</v>
      </c>
      <c r="I185" s="20">
        <f t="shared" ca="1" si="13"/>
        <v>0.17960324926652127</v>
      </c>
      <c r="J185" s="20">
        <f t="shared" ca="1" si="15"/>
        <v>0.16384904622966834</v>
      </c>
      <c r="K185" s="36">
        <v>16</v>
      </c>
      <c r="M185" s="3"/>
      <c r="N185" s="3"/>
      <c r="O185" s="3"/>
    </row>
    <row r="186" spans="1:15" x14ac:dyDescent="0.25">
      <c r="A186" s="8" t="s">
        <v>7</v>
      </c>
      <c r="B186" s="8">
        <v>44750</v>
      </c>
      <c r="C186" s="9">
        <v>0.16</v>
      </c>
      <c r="D186" s="10">
        <f t="shared" ca="1" si="10"/>
        <v>108.24317932980406</v>
      </c>
      <c r="E186" s="11">
        <f>+E185*(1+C185*F186/365)</f>
        <v>108.24317932980406</v>
      </c>
      <c r="F186" s="12">
        <f t="shared" si="11"/>
        <v>1</v>
      </c>
      <c r="G186" s="20">
        <f t="shared" ca="1" si="12"/>
        <v>0.16362732688172027</v>
      </c>
      <c r="H186" s="20">
        <f t="shared" ca="1" si="14"/>
        <v>0.16957000139150349</v>
      </c>
      <c r="I186" s="20">
        <f t="shared" ca="1" si="13"/>
        <v>0.17937130015622915</v>
      </c>
      <c r="J186" s="20">
        <f t="shared" ca="1" si="15"/>
        <v>0.16403190626368841</v>
      </c>
      <c r="K186" s="36">
        <v>16</v>
      </c>
      <c r="M186" s="3"/>
      <c r="N186" s="3"/>
      <c r="O186" s="3"/>
    </row>
    <row r="187" spans="1:15" x14ac:dyDescent="0.25">
      <c r="A187" s="14" t="s">
        <v>6</v>
      </c>
      <c r="B187" s="14">
        <v>44751</v>
      </c>
      <c r="C187" s="15">
        <v>0.16</v>
      </c>
      <c r="D187" s="16">
        <f t="shared" ca="1" si="10"/>
        <v>108.29062839471575</v>
      </c>
      <c r="E187" s="17">
        <f>+E186*(1+C186*F187/365)</f>
        <v>108.29062839471575</v>
      </c>
      <c r="F187" s="18">
        <f t="shared" si="11"/>
        <v>1</v>
      </c>
      <c r="G187" s="15">
        <f t="shared" ca="1" si="12"/>
        <v>0.16305586358844795</v>
      </c>
      <c r="H187" s="15">
        <f t="shared" ca="1" si="14"/>
        <v>0.16923217964634168</v>
      </c>
      <c r="I187" s="15">
        <f t="shared" ca="1" si="13"/>
        <v>0.17914039260208664</v>
      </c>
      <c r="J187" s="15">
        <f t="shared" ca="1" si="15"/>
        <v>0.16421505743489903</v>
      </c>
      <c r="K187" s="36">
        <v>16</v>
      </c>
      <c r="M187" s="3"/>
      <c r="N187" s="3"/>
      <c r="O187" s="3"/>
    </row>
    <row r="188" spans="1:15" x14ac:dyDescent="0.25">
      <c r="A188" s="14" t="s">
        <v>6</v>
      </c>
      <c r="B188" s="14">
        <v>44752</v>
      </c>
      <c r="C188" s="15">
        <v>0.16</v>
      </c>
      <c r="D188" s="16">
        <f t="shared" ca="1" si="10"/>
        <v>108.33807745962746</v>
      </c>
      <c r="E188" s="17">
        <f>+E186*(1+C187*F188/365)</f>
        <v>108.33807745962746</v>
      </c>
      <c r="F188" s="18">
        <f t="shared" si="11"/>
        <v>2</v>
      </c>
      <c r="G188" s="15">
        <f t="shared" ca="1" si="12"/>
        <v>0.16248491333550014</v>
      </c>
      <c r="H188" s="15">
        <f t="shared" ca="1" si="14"/>
        <v>0.16889199887538425</v>
      </c>
      <c r="I188" s="15">
        <f t="shared" ca="1" si="13"/>
        <v>0.17890971245594203</v>
      </c>
      <c r="J188" s="15">
        <f t="shared" ca="1" si="15"/>
        <v>0.1643947362140962</v>
      </c>
      <c r="K188" s="36">
        <v>16</v>
      </c>
      <c r="M188" s="3"/>
      <c r="N188" s="3"/>
      <c r="O188" s="3"/>
    </row>
    <row r="189" spans="1:15" x14ac:dyDescent="0.25">
      <c r="A189" s="14" t="s">
        <v>6</v>
      </c>
      <c r="B189" s="14">
        <v>44753</v>
      </c>
      <c r="C189" s="15">
        <v>0.16</v>
      </c>
      <c r="D189" s="16">
        <f t="shared" ca="1" si="10"/>
        <v>108.38552652453915</v>
      </c>
      <c r="E189" s="17">
        <f>+E186*(1+C188*F189/365)</f>
        <v>108.38552652453915</v>
      </c>
      <c r="F189" s="18">
        <f t="shared" si="11"/>
        <v>3</v>
      </c>
      <c r="G189" s="15">
        <f t="shared" ca="1" si="12"/>
        <v>0.16191447543229304</v>
      </c>
      <c r="H189" s="15">
        <f t="shared" ca="1" si="14"/>
        <v>0.16854946134827029</v>
      </c>
      <c r="I189" s="15">
        <f t="shared" ca="1" si="13"/>
        <v>0.17867617619895312</v>
      </c>
      <c r="J189" s="15">
        <f t="shared" ca="1" si="15"/>
        <v>0.16458160681381975</v>
      </c>
      <c r="K189" s="36">
        <v>16</v>
      </c>
      <c r="M189" s="3"/>
      <c r="N189" s="3"/>
      <c r="O189" s="3"/>
    </row>
    <row r="190" spans="1:15" x14ac:dyDescent="0.25">
      <c r="A190" s="14" t="s">
        <v>6</v>
      </c>
      <c r="B190" s="14">
        <v>44754</v>
      </c>
      <c r="C190" s="15">
        <v>0.16</v>
      </c>
      <c r="D190" s="16">
        <f t="shared" ca="1" si="10"/>
        <v>108.43297558945083</v>
      </c>
      <c r="E190" s="17">
        <f>+E186*(1+C189*F190/365)</f>
        <v>108.43297558945083</v>
      </c>
      <c r="F190" s="18">
        <f t="shared" si="11"/>
        <v>4</v>
      </c>
      <c r="G190" s="15">
        <f t="shared" ca="1" si="12"/>
        <v>0.16176990354004978</v>
      </c>
      <c r="H190" s="15">
        <f t="shared" ca="1" si="14"/>
        <v>0.1682072426002629</v>
      </c>
      <c r="I190" s="15">
        <f t="shared" ca="1" si="13"/>
        <v>0.1784418413687312</v>
      </c>
      <c r="J190" s="15">
        <f t="shared" ca="1" si="15"/>
        <v>0.16481287334663877</v>
      </c>
      <c r="K190" s="36">
        <v>16</v>
      </c>
      <c r="M190" s="3"/>
      <c r="N190" s="3"/>
      <c r="O190" s="3"/>
    </row>
    <row r="191" spans="1:15" x14ac:dyDescent="0.25">
      <c r="A191" s="8" t="s">
        <v>7</v>
      </c>
      <c r="B191" s="8">
        <v>44755</v>
      </c>
      <c r="C191" s="9">
        <v>0.16</v>
      </c>
      <c r="D191" s="10">
        <f t="shared" ca="1" si="10"/>
        <v>108.48042465436254</v>
      </c>
      <c r="E191" s="11">
        <f>+E186*(1+C190*F191/365)</f>
        <v>108.48042465436254</v>
      </c>
      <c r="F191" s="12">
        <f t="shared" si="11"/>
        <v>5</v>
      </c>
      <c r="G191" s="20">
        <f t="shared" ca="1" si="12"/>
        <v>0.16073319889793308</v>
      </c>
      <c r="H191" s="20">
        <f t="shared" ca="1" si="14"/>
        <v>0.16786534218656399</v>
      </c>
      <c r="I191" s="20">
        <f t="shared" ca="1" si="13"/>
        <v>0.17820670880926248</v>
      </c>
      <c r="J191" s="20">
        <f t="shared" ca="1" si="15"/>
        <v>0.16505056237063653</v>
      </c>
      <c r="K191" s="36">
        <v>16</v>
      </c>
      <c r="M191" s="3"/>
      <c r="N191" s="3"/>
      <c r="O191" s="3"/>
    </row>
    <row r="192" spans="1:15" x14ac:dyDescent="0.25">
      <c r="A192" s="8" t="s">
        <v>7</v>
      </c>
      <c r="B192" s="8">
        <v>44756</v>
      </c>
      <c r="C192" s="9">
        <v>0.16</v>
      </c>
      <c r="D192" s="10">
        <f t="shared" ca="1" si="10"/>
        <v>108.52797771722472</v>
      </c>
      <c r="E192" s="11">
        <f>+E191*(1+C191*F192/365)</f>
        <v>108.52797771722472</v>
      </c>
      <c r="F192" s="12">
        <f t="shared" si="11"/>
        <v>1</v>
      </c>
      <c r="G192" s="20">
        <f t="shared" ca="1" si="12"/>
        <v>0.16011023722487258</v>
      </c>
      <c r="H192" s="20">
        <f t="shared" ca="1" si="14"/>
        <v>0.16752756712265235</v>
      </c>
      <c r="I192" s="20">
        <f t="shared" ca="1" si="13"/>
        <v>0.17797483618401599</v>
      </c>
      <c r="J192" s="20">
        <f t="shared" ca="1" si="15"/>
        <v>0.16527819869172866</v>
      </c>
      <c r="K192" s="36">
        <v>16</v>
      </c>
      <c r="M192" s="3"/>
      <c r="N192" s="3"/>
      <c r="O192" s="3"/>
    </row>
    <row r="193" spans="1:15" x14ac:dyDescent="0.25">
      <c r="A193" s="8" t="s">
        <v>7</v>
      </c>
      <c r="B193" s="8">
        <v>44757</v>
      </c>
      <c r="C193" s="9">
        <v>0.16</v>
      </c>
      <c r="D193" s="10">
        <f t="shared" ca="1" si="10"/>
        <v>108.57555162526513</v>
      </c>
      <c r="E193" s="11">
        <f>+E192*(1+C192*F193/365)</f>
        <v>108.57555162526513</v>
      </c>
      <c r="F193" s="12">
        <f t="shared" si="11"/>
        <v>1</v>
      </c>
      <c r="G193" s="20">
        <f t="shared" ca="1" si="12"/>
        <v>0.16011023722488416</v>
      </c>
      <c r="H193" s="20">
        <f t="shared" ca="1" si="14"/>
        <v>0.16718980130854472</v>
      </c>
      <c r="I193" s="20">
        <f t="shared" ca="1" si="13"/>
        <v>0.17774297625785632</v>
      </c>
      <c r="J193" s="20">
        <f t="shared" ca="1" si="15"/>
        <v>0.16550610390417342</v>
      </c>
      <c r="K193" s="36">
        <v>16</v>
      </c>
      <c r="M193" s="3"/>
      <c r="N193" s="3"/>
      <c r="O193" s="3"/>
    </row>
    <row r="194" spans="1:15" x14ac:dyDescent="0.25">
      <c r="A194" s="8" t="s">
        <v>7</v>
      </c>
      <c r="B194" s="8">
        <v>44758</v>
      </c>
      <c r="C194" s="9">
        <v>0.16</v>
      </c>
      <c r="D194" s="10">
        <f t="shared" ca="1" si="10"/>
        <v>108.6231463876214</v>
      </c>
      <c r="E194" s="11">
        <f>+E193*(1+C193*F194/365)</f>
        <v>108.6231463876214</v>
      </c>
      <c r="F194" s="12">
        <f t="shared" si="11"/>
        <v>1</v>
      </c>
      <c r="G194" s="20">
        <f t="shared" ca="1" si="12"/>
        <v>0.16011023722487258</v>
      </c>
      <c r="H194" s="20">
        <f t="shared" ca="1" si="14"/>
        <v>0.16685204474398702</v>
      </c>
      <c r="I194" s="20">
        <f t="shared" ca="1" si="13"/>
        <v>0.17751215748736954</v>
      </c>
      <c r="J194" s="20">
        <f t="shared" ca="1" si="15"/>
        <v>0.16573427792292122</v>
      </c>
      <c r="K194" s="36">
        <v>16</v>
      </c>
      <c r="M194" s="3"/>
      <c r="N194" s="3"/>
      <c r="O194" s="3"/>
    </row>
    <row r="195" spans="1:15" x14ac:dyDescent="0.25">
      <c r="A195" s="14" t="s">
        <v>6</v>
      </c>
      <c r="B195" s="14">
        <v>44759</v>
      </c>
      <c r="C195" s="15">
        <v>0.16</v>
      </c>
      <c r="D195" s="16">
        <f t="shared" ref="D195:D258" ca="1" si="16">+IF(F195=1,D194*(1+C194*F195/365),OFFSET(D194,-F195+1,0)*(1+C194*F195/365))</f>
        <v>108.67076201343515</v>
      </c>
      <c r="E195" s="17">
        <f>+E194*(1+C194*F195/365)</f>
        <v>108.67076201343515</v>
      </c>
      <c r="F195" s="18">
        <f t="shared" si="11"/>
        <v>1</v>
      </c>
      <c r="G195" s="15">
        <f t="shared" ca="1" si="12"/>
        <v>0.16012027875696824</v>
      </c>
      <c r="H195" s="15">
        <f t="shared" ca="1" si="14"/>
        <v>0.16651429742872534</v>
      </c>
      <c r="I195" s="15">
        <f t="shared" ca="1" si="13"/>
        <v>0.17728237869056593</v>
      </c>
      <c r="J195" s="15">
        <f t="shared" ca="1" si="15"/>
        <v>0.16594651905071015</v>
      </c>
      <c r="K195" s="36">
        <v>16</v>
      </c>
      <c r="M195" s="3"/>
      <c r="N195" s="3"/>
      <c r="O195" s="3"/>
    </row>
    <row r="196" spans="1:15" x14ac:dyDescent="0.25">
      <c r="A196" s="8" t="s">
        <v>7</v>
      </c>
      <c r="B196" s="8">
        <v>44760</v>
      </c>
      <c r="C196" s="9">
        <v>0.16</v>
      </c>
      <c r="D196" s="10">
        <f t="shared" ca="1" si="16"/>
        <v>108.71837763924891</v>
      </c>
      <c r="E196" s="11">
        <f>+E194*(1+C195*F196/365)</f>
        <v>108.71837763924891</v>
      </c>
      <c r="F196" s="12">
        <f t="shared" si="11"/>
        <v>2</v>
      </c>
      <c r="G196" s="20">
        <f t="shared" ca="1" si="12"/>
        <v>0.16013031149710549</v>
      </c>
      <c r="H196" s="20">
        <f t="shared" ca="1" si="14"/>
        <v>0.1661741916074152</v>
      </c>
      <c r="I196" s="20">
        <f t="shared" ca="1" si="13"/>
        <v>0.17704974407996432</v>
      </c>
      <c r="J196" s="20">
        <f t="shared" ca="1" si="15"/>
        <v>0.16615638295100377</v>
      </c>
      <c r="K196" s="36">
        <v>16</v>
      </c>
      <c r="M196" s="3"/>
      <c r="N196" s="3"/>
      <c r="O196" s="3"/>
    </row>
    <row r="197" spans="1:15" x14ac:dyDescent="0.25">
      <c r="A197" s="8" t="s">
        <v>7</v>
      </c>
      <c r="B197" s="8">
        <v>44761</v>
      </c>
      <c r="C197" s="9">
        <v>0.16</v>
      </c>
      <c r="D197" s="10">
        <f t="shared" ca="1" si="16"/>
        <v>108.76603501026885</v>
      </c>
      <c r="E197" s="11">
        <f>+E196*(1+C196*F197/365)</f>
        <v>108.76603501026885</v>
      </c>
      <c r="F197" s="12">
        <f t="shared" si="11"/>
        <v>1</v>
      </c>
      <c r="G197" s="20">
        <f t="shared" ca="1" si="12"/>
        <v>0.16016040974058066</v>
      </c>
      <c r="H197" s="20">
        <f t="shared" ca="1" si="14"/>
        <v>0.1658391356088269</v>
      </c>
      <c r="I197" s="20">
        <f t="shared" ca="1" si="13"/>
        <v>0.17681793481879837</v>
      </c>
      <c r="J197" s="20">
        <f t="shared" ca="1" si="15"/>
        <v>0.16634292286192734</v>
      </c>
      <c r="K197" s="36">
        <v>16</v>
      </c>
      <c r="M197" s="3"/>
      <c r="N197" s="3"/>
      <c r="O197" s="3"/>
    </row>
    <row r="198" spans="1:15" x14ac:dyDescent="0.25">
      <c r="A198" s="8" t="s">
        <v>7</v>
      </c>
      <c r="B198" s="8">
        <v>44762</v>
      </c>
      <c r="C198" s="9">
        <v>0.15869863013698601</v>
      </c>
      <c r="D198" s="10">
        <f t="shared" ca="1" si="16"/>
        <v>108.81371327219115</v>
      </c>
      <c r="E198" s="11">
        <f>+E197*(1+C197*F198/365)</f>
        <v>108.81371327219115</v>
      </c>
      <c r="F198" s="12">
        <f t="shared" si="11"/>
        <v>1</v>
      </c>
      <c r="G198" s="20">
        <f t="shared" ca="1" si="12"/>
        <v>0.1602005232017556</v>
      </c>
      <c r="H198" s="20">
        <f t="shared" ca="1" si="14"/>
        <v>0.16550675890820507</v>
      </c>
      <c r="I198" s="20">
        <f t="shared" ca="1" si="13"/>
        <v>0.17658613825324773</v>
      </c>
      <c r="J198" s="20">
        <f t="shared" ca="1" si="15"/>
        <v>0.16652319734230164</v>
      </c>
      <c r="K198" s="36">
        <v>16</v>
      </c>
      <c r="M198" s="3"/>
      <c r="N198" s="3"/>
      <c r="O198" s="3"/>
    </row>
    <row r="199" spans="1:15" x14ac:dyDescent="0.25">
      <c r="A199" s="8" t="s">
        <v>7</v>
      </c>
      <c r="B199" s="8">
        <v>44763</v>
      </c>
      <c r="C199" s="9">
        <v>0.16</v>
      </c>
      <c r="D199" s="10">
        <f t="shared" ca="1" si="16"/>
        <v>108.86102447009914</v>
      </c>
      <c r="E199" s="11">
        <f>+E198*(1+C198*F199/365)</f>
        <v>108.86102447009914</v>
      </c>
      <c r="F199" s="12">
        <f t="shared" ref="F199:F262" si="17">IF(A198="Working day",1,(IF(A197="Working day",2,(IF(A196="Working day",3,IF(A195="Working day",4,IF(A194="Working day",5,6)))))))</f>
        <v>1</v>
      </c>
      <c r="G199" s="20">
        <f t="shared" ca="1" si="12"/>
        <v>0.16001412375222965</v>
      </c>
      <c r="H199" s="20">
        <f t="shared" ca="1" si="14"/>
        <v>0.16512509980943793</v>
      </c>
      <c r="I199" s="20">
        <f t="shared" ca="1" si="13"/>
        <v>0.17633927255542106</v>
      </c>
      <c r="J199" s="20">
        <f t="shared" ca="1" si="15"/>
        <v>0.16669566586609894</v>
      </c>
      <c r="K199" s="36">
        <v>16</v>
      </c>
      <c r="M199" s="3"/>
      <c r="N199" s="3"/>
      <c r="O199" s="3"/>
    </row>
    <row r="200" spans="1:15" x14ac:dyDescent="0.25">
      <c r="A200" s="8" t="s">
        <v>7</v>
      </c>
      <c r="B200" s="8">
        <v>44764</v>
      </c>
      <c r="C200" s="9">
        <v>0.15</v>
      </c>
      <c r="D200" s="10">
        <f t="shared" ca="1" si="16"/>
        <v>108.90874437123671</v>
      </c>
      <c r="E200" s="11">
        <f>+E199*(1+C199*F200/365)</f>
        <v>108.90874437123671</v>
      </c>
      <c r="F200" s="12">
        <f t="shared" si="17"/>
        <v>1</v>
      </c>
      <c r="G200" s="20">
        <f t="shared" ca="1" si="12"/>
        <v>0.16001412375222965</v>
      </c>
      <c r="H200" s="20">
        <f t="shared" ca="1" si="14"/>
        <v>0.16478739978570769</v>
      </c>
      <c r="I200" s="20">
        <f t="shared" ca="1" si="13"/>
        <v>0.17610750220501126</v>
      </c>
      <c r="J200" s="20">
        <f t="shared" ca="1" si="15"/>
        <v>0.16687624752911784</v>
      </c>
      <c r="K200" s="36">
        <v>15</v>
      </c>
      <c r="M200" s="3"/>
      <c r="N200" s="3"/>
      <c r="O200" s="3"/>
    </row>
    <row r="201" spans="1:15" x14ac:dyDescent="0.25">
      <c r="A201" s="14" t="s">
        <v>6</v>
      </c>
      <c r="B201" s="14">
        <v>44765</v>
      </c>
      <c r="C201" s="15">
        <v>0.15</v>
      </c>
      <c r="D201" s="16">
        <f t="shared" ca="1" si="16"/>
        <v>108.95350138947147</v>
      </c>
      <c r="E201" s="17">
        <f>+E200*(1+C200*F201/365)</f>
        <v>108.95350138947147</v>
      </c>
      <c r="F201" s="18">
        <f t="shared" si="17"/>
        <v>1</v>
      </c>
      <c r="G201" s="15">
        <f t="shared" ref="G201:G264" ca="1" si="18">(D201/OFFSET(D201,-7,0)-1)*365/7</f>
        <v>0.15858179624466767</v>
      </c>
      <c r="H201" s="15">
        <f t="shared" ca="1" si="14"/>
        <v>0.16411201823375141</v>
      </c>
      <c r="I201" s="15">
        <f t="shared" ca="1" si="13"/>
        <v>0.17576089375142501</v>
      </c>
      <c r="J201" s="15">
        <f t="shared" ca="1" si="15"/>
        <v>0.16699701596225913</v>
      </c>
      <c r="K201" s="36">
        <v>15</v>
      </c>
      <c r="M201" s="3"/>
      <c r="N201" s="3"/>
      <c r="O201" s="3"/>
    </row>
    <row r="202" spans="1:15" x14ac:dyDescent="0.25">
      <c r="A202" s="14" t="s">
        <v>6</v>
      </c>
      <c r="B202" s="14">
        <v>44766</v>
      </c>
      <c r="C202" s="15">
        <v>0.15</v>
      </c>
      <c r="D202" s="16">
        <f t="shared" ca="1" si="16"/>
        <v>108.99825840770622</v>
      </c>
      <c r="E202" s="17">
        <f>+E200*(1+C201*F202/365)</f>
        <v>108.99825840770622</v>
      </c>
      <c r="F202" s="18">
        <f t="shared" si="17"/>
        <v>2</v>
      </c>
      <c r="G202" s="15">
        <f t="shared" ca="1" si="18"/>
        <v>0.15714068241433193</v>
      </c>
      <c r="H202" s="15">
        <f t="shared" ca="1" si="14"/>
        <v>0.1634345929853902</v>
      </c>
      <c r="I202" s="15">
        <f t="shared" ca="1" si="13"/>
        <v>0.17541462665321178</v>
      </c>
      <c r="J202" s="15">
        <f t="shared" ca="1" si="15"/>
        <v>0.16711686439190268</v>
      </c>
      <c r="K202" s="36">
        <v>15</v>
      </c>
      <c r="M202" s="3"/>
      <c r="N202" s="3"/>
      <c r="O202" s="3"/>
    </row>
    <row r="203" spans="1:15" x14ac:dyDescent="0.25">
      <c r="A203" s="8" t="s">
        <v>7</v>
      </c>
      <c r="B203" s="8">
        <v>44767</v>
      </c>
      <c r="C203" s="9">
        <v>0.15</v>
      </c>
      <c r="D203" s="10">
        <f t="shared" ca="1" si="16"/>
        <v>109.04301542594098</v>
      </c>
      <c r="E203" s="11">
        <f>+E200*(1+C202*F203/365)</f>
        <v>109.04301542594098</v>
      </c>
      <c r="F203" s="12">
        <f t="shared" si="17"/>
        <v>3</v>
      </c>
      <c r="G203" s="20">
        <f t="shared" ca="1" si="18"/>
        <v>0.15570083091955542</v>
      </c>
      <c r="H203" s="20">
        <f t="shared" ca="1" si="14"/>
        <v>0.16275512608983062</v>
      </c>
      <c r="I203" s="20">
        <f t="shared" ca="1" si="13"/>
        <v>0.17506561985233307</v>
      </c>
      <c r="J203" s="20">
        <f t="shared" ca="1" si="15"/>
        <v>0.16723634926475756</v>
      </c>
      <c r="K203" s="36">
        <v>15</v>
      </c>
      <c r="M203" s="3"/>
      <c r="N203" s="3"/>
      <c r="O203" s="3"/>
    </row>
    <row r="204" spans="1:15" x14ac:dyDescent="0.25">
      <c r="A204" s="8" t="s">
        <v>7</v>
      </c>
      <c r="B204" s="8">
        <v>44768</v>
      </c>
      <c r="C204" s="9">
        <v>0.15</v>
      </c>
      <c r="D204" s="10">
        <f t="shared" ca="1" si="16"/>
        <v>109.08782762406123</v>
      </c>
      <c r="E204" s="11">
        <f>+E203*(1+C203*F204/365)</f>
        <v>109.08782762406123</v>
      </c>
      <c r="F204" s="12">
        <f t="shared" si="17"/>
        <v>1</v>
      </c>
      <c r="G204" s="20">
        <f t="shared" ca="1" si="18"/>
        <v>0.15426862153261753</v>
      </c>
      <c r="H204" s="20">
        <f t="shared" ca="1" si="14"/>
        <v>0.16208252778334487</v>
      </c>
      <c r="I204" s="20">
        <f t="shared" ca="1" si="13"/>
        <v>0.17471806895890457</v>
      </c>
      <c r="J204" s="20">
        <f t="shared" ca="1" si="15"/>
        <v>0.16735658118911559</v>
      </c>
      <c r="K204" s="36">
        <v>15</v>
      </c>
      <c r="M204" s="3"/>
      <c r="N204" s="3"/>
      <c r="O204" s="3"/>
    </row>
    <row r="205" spans="1:15" x14ac:dyDescent="0.25">
      <c r="A205" s="8" t="s">
        <v>7</v>
      </c>
      <c r="B205" s="8">
        <v>44769</v>
      </c>
      <c r="C205" s="9">
        <v>0.15</v>
      </c>
      <c r="D205" s="10">
        <f t="shared" ca="1" si="16"/>
        <v>109.13265823815333</v>
      </c>
      <c r="E205" s="11">
        <f>+E204*(1+C204*F205/365)</f>
        <v>109.13265823815333</v>
      </c>
      <c r="F205" s="12">
        <f t="shared" si="17"/>
        <v>1</v>
      </c>
      <c r="G205" s="20">
        <f t="shared" ca="1" si="18"/>
        <v>0.152836451367101</v>
      </c>
      <c r="H205" s="20">
        <f t="shared" ca="1" si="14"/>
        <v>0.16141263547741388</v>
      </c>
      <c r="I205" s="20">
        <f t="shared" ca="1" si="13"/>
        <v>0.17437054661722259</v>
      </c>
      <c r="J205" s="20">
        <f t="shared" ca="1" si="15"/>
        <v>0.16747681969917866</v>
      </c>
      <c r="K205" s="36">
        <v>15</v>
      </c>
      <c r="M205" s="3"/>
      <c r="N205" s="3"/>
      <c r="O205" s="3"/>
    </row>
    <row r="206" spans="1:15" x14ac:dyDescent="0.25">
      <c r="A206" s="8" t="s">
        <v>7</v>
      </c>
      <c r="B206" s="8">
        <v>44770</v>
      </c>
      <c r="C206" s="9">
        <v>0.15</v>
      </c>
      <c r="D206" s="10">
        <f t="shared" ca="1" si="16"/>
        <v>109.17750727578546</v>
      </c>
      <c r="E206" s="11">
        <f>+E205*(1+C205*F206/365)</f>
        <v>109.17750727578546</v>
      </c>
      <c r="F206" s="12">
        <f t="shared" si="17"/>
        <v>1</v>
      </c>
      <c r="G206" s="20">
        <f t="shared" ca="1" si="18"/>
        <v>0.15159068918743729</v>
      </c>
      <c r="H206" s="20">
        <f t="shared" ca="1" si="14"/>
        <v>0.1607374387579604</v>
      </c>
      <c r="I206" s="20">
        <f t="shared" ca="1" si="13"/>
        <v>0.17402305282494221</v>
      </c>
      <c r="J206" s="20">
        <f t="shared" ca="1" si="15"/>
        <v>0.16759706479530792</v>
      </c>
      <c r="K206" s="36">
        <v>15</v>
      </c>
      <c r="M206" s="3"/>
      <c r="N206" s="3"/>
      <c r="O206" s="3"/>
    </row>
    <row r="207" spans="1:15" x14ac:dyDescent="0.25">
      <c r="A207" s="8" t="s">
        <v>7</v>
      </c>
      <c r="B207" s="8">
        <v>44771</v>
      </c>
      <c r="C207" s="9">
        <v>0.15</v>
      </c>
      <c r="D207" s="10">
        <f t="shared" ca="1" si="16"/>
        <v>109.22237474452895</v>
      </c>
      <c r="E207" s="11">
        <f>+E206*(1+C206*F207/365)</f>
        <v>109.22237474452895</v>
      </c>
      <c r="F207" s="12">
        <f t="shared" si="17"/>
        <v>1</v>
      </c>
      <c r="G207" s="20">
        <f t="shared" ca="1" si="18"/>
        <v>0.15015859235778259</v>
      </c>
      <c r="H207" s="20">
        <f t="shared" ca="1" si="14"/>
        <v>0.160062279018366</v>
      </c>
      <c r="I207" s="20">
        <f t="shared" ca="1" si="13"/>
        <v>0.17367015888824044</v>
      </c>
      <c r="J207" s="20">
        <f t="shared" ca="1" si="15"/>
        <v>0.1677175947849065</v>
      </c>
      <c r="K207" s="36">
        <v>15</v>
      </c>
      <c r="M207" s="3"/>
      <c r="N207" s="3"/>
      <c r="O207" s="3"/>
    </row>
    <row r="208" spans="1:15" x14ac:dyDescent="0.25">
      <c r="A208" s="14" t="s">
        <v>6</v>
      </c>
      <c r="B208" s="14">
        <v>44772</v>
      </c>
      <c r="C208" s="15">
        <v>0.15</v>
      </c>
      <c r="D208" s="16">
        <f t="shared" ca="1" si="16"/>
        <v>109.26726065195822</v>
      </c>
      <c r="E208" s="17">
        <f>+E207*(1+C207*F208/365)</f>
        <v>109.26726065195822</v>
      </c>
      <c r="F208" s="18">
        <f t="shared" si="17"/>
        <v>1</v>
      </c>
      <c r="G208" s="15">
        <f t="shared" ca="1" si="18"/>
        <v>0.15015859235778259</v>
      </c>
      <c r="H208" s="15">
        <f t="shared" ca="1" si="14"/>
        <v>0.1593871562566046</v>
      </c>
      <c r="I208" s="15">
        <f t="shared" ca="1" si="13"/>
        <v>0.17320692323398534</v>
      </c>
      <c r="J208" s="15">
        <f t="shared" ca="1" si="15"/>
        <v>0.16783840951609277</v>
      </c>
      <c r="K208" s="36">
        <v>15</v>
      </c>
      <c r="M208" s="3"/>
      <c r="N208" s="3"/>
      <c r="O208" s="3"/>
    </row>
    <row r="209" spans="1:15" x14ac:dyDescent="0.25">
      <c r="A209" s="14" t="s">
        <v>6</v>
      </c>
      <c r="B209" s="14">
        <v>44773</v>
      </c>
      <c r="C209" s="15">
        <v>0.15</v>
      </c>
      <c r="D209" s="16">
        <f t="shared" ca="1" si="16"/>
        <v>109.31214655938746</v>
      </c>
      <c r="E209" s="17">
        <f>+E207*(1+C208*F209/365)</f>
        <v>109.31214655938746</v>
      </c>
      <c r="F209" s="18">
        <f t="shared" si="17"/>
        <v>2</v>
      </c>
      <c r="G209" s="15">
        <f t="shared" ca="1" si="18"/>
        <v>0.15015859235778259</v>
      </c>
      <c r="H209" s="15">
        <f t="shared" ca="1" si="14"/>
        <v>0.15870999058153173</v>
      </c>
      <c r="I209" s="15">
        <f t="shared" ca="1" si="13"/>
        <v>0.17274416935089423</v>
      </c>
      <c r="J209" s="15">
        <f t="shared" ca="1" si="15"/>
        <v>0.16795830389108587</v>
      </c>
      <c r="K209" s="36">
        <v>15</v>
      </c>
      <c r="M209" s="3"/>
      <c r="N209" s="3"/>
      <c r="O209" s="3"/>
    </row>
    <row r="210" spans="1:15" x14ac:dyDescent="0.25">
      <c r="A210" s="8" t="s">
        <v>7</v>
      </c>
      <c r="B210" s="8">
        <v>44774</v>
      </c>
      <c r="C210" s="9">
        <v>0.15</v>
      </c>
      <c r="D210" s="10">
        <f t="shared" ca="1" si="16"/>
        <v>109.35703246681673</v>
      </c>
      <c r="E210" s="11">
        <f>+E207*(1+C209*F210/365)</f>
        <v>109.35703246681673</v>
      </c>
      <c r="F210" s="12">
        <f t="shared" si="17"/>
        <v>3</v>
      </c>
      <c r="G210" s="20">
        <f t="shared" ca="1" si="18"/>
        <v>0.15015859235778259</v>
      </c>
      <c r="H210" s="20">
        <f t="shared" ca="1" si="14"/>
        <v>0.15823364450386482</v>
      </c>
      <c r="I210" s="20">
        <f t="shared" ca="1" si="13"/>
        <v>0.17228189648778872</v>
      </c>
      <c r="J210" s="20">
        <f t="shared" ca="1" si="15"/>
        <v>0.16807783456991682</v>
      </c>
      <c r="K210" s="36">
        <v>15</v>
      </c>
      <c r="M210" s="3"/>
      <c r="N210" s="3"/>
      <c r="O210" s="3"/>
    </row>
    <row r="211" spans="1:15" x14ac:dyDescent="0.25">
      <c r="A211" s="8" t="s">
        <v>7</v>
      </c>
      <c r="B211" s="8">
        <v>44775</v>
      </c>
      <c r="C211" s="9">
        <v>0.15</v>
      </c>
      <c r="D211" s="10">
        <f t="shared" ca="1" si="16"/>
        <v>109.40197371303599</v>
      </c>
      <c r="E211" s="11">
        <f>+E210*(1+C210*F211/365)</f>
        <v>109.40197371303599</v>
      </c>
      <c r="F211" s="12">
        <f t="shared" si="17"/>
        <v>1</v>
      </c>
      <c r="G211" s="20">
        <f t="shared" ca="1" si="18"/>
        <v>0.15015859235778259</v>
      </c>
      <c r="H211" s="20">
        <f t="shared" ca="1" si="14"/>
        <v>0.15776396013908833</v>
      </c>
      <c r="I211" s="20">
        <f t="shared" ca="1" si="13"/>
        <v>0.1718222422291576</v>
      </c>
      <c r="J211" s="20">
        <f t="shared" ca="1" si="15"/>
        <v>0.16819811258664236</v>
      </c>
      <c r="K211" s="36">
        <v>15</v>
      </c>
      <c r="M211" s="3"/>
      <c r="N211" s="3"/>
      <c r="O211" s="3"/>
    </row>
    <row r="212" spans="1:15" x14ac:dyDescent="0.25">
      <c r="A212" s="8" t="s">
        <v>7</v>
      </c>
      <c r="B212" s="8">
        <v>44776</v>
      </c>
      <c r="C212" s="9">
        <v>0.14575601983002801</v>
      </c>
      <c r="D212" s="10">
        <f t="shared" ca="1" si="16"/>
        <v>109.44693342826054</v>
      </c>
      <c r="E212" s="11">
        <f>+E211*(1+C211*F212/365)</f>
        <v>109.44693342826054</v>
      </c>
      <c r="F212" s="12">
        <f t="shared" si="17"/>
        <v>1</v>
      </c>
      <c r="G212" s="20">
        <f t="shared" ca="1" si="18"/>
        <v>0.15015859235778259</v>
      </c>
      <c r="H212" s="20">
        <f t="shared" ca="1" si="14"/>
        <v>0.15729677690205818</v>
      </c>
      <c r="I212" s="20">
        <f t="shared" ca="1" si="13"/>
        <v>0.17136377855866822</v>
      </c>
      <c r="J212" s="20">
        <f t="shared" ca="1" si="15"/>
        <v>0.168318397191598</v>
      </c>
      <c r="K212" s="36">
        <v>15</v>
      </c>
      <c r="M212" s="3"/>
      <c r="N212" s="3"/>
      <c r="O212" s="3"/>
    </row>
    <row r="213" spans="1:15" x14ac:dyDescent="0.25">
      <c r="A213" s="8" t="s">
        <v>7</v>
      </c>
      <c r="B213" s="8">
        <v>44777</v>
      </c>
      <c r="C213" s="9">
        <v>0.14499999999999999</v>
      </c>
      <c r="D213" s="10">
        <f t="shared" ca="1" si="16"/>
        <v>109.4906390430526</v>
      </c>
      <c r="E213" s="11">
        <f>+E212*(1+C212*F213/365)</f>
        <v>109.4906390430526</v>
      </c>
      <c r="F213" s="12">
        <f t="shared" si="17"/>
        <v>1</v>
      </c>
      <c r="G213" s="20">
        <f t="shared" ca="1" si="18"/>
        <v>0.14955081330312045</v>
      </c>
      <c r="H213" s="20">
        <f t="shared" ca="1" si="14"/>
        <v>0.15678907903178441</v>
      </c>
      <c r="I213" s="20">
        <f t="shared" ca="1" si="13"/>
        <v>0.17096320799305492</v>
      </c>
      <c r="J213" s="20">
        <f t="shared" ca="1" si="15"/>
        <v>0.16841485438234988</v>
      </c>
      <c r="K213" s="36">
        <v>15</v>
      </c>
      <c r="M213" s="3"/>
      <c r="N213" s="3"/>
      <c r="O213" s="3"/>
    </row>
    <row r="214" spans="1:15" x14ac:dyDescent="0.25">
      <c r="A214" s="8" t="s">
        <v>7</v>
      </c>
      <c r="B214" s="8">
        <v>44778</v>
      </c>
      <c r="C214" s="9">
        <v>0.14499999999999999</v>
      </c>
      <c r="D214" s="10">
        <f t="shared" ca="1" si="16"/>
        <v>109.53413532431627</v>
      </c>
      <c r="E214" s="11">
        <f>+E213*(1+C213*F214/365)</f>
        <v>109.53413532431627</v>
      </c>
      <c r="F214" s="12">
        <f t="shared" si="17"/>
        <v>1</v>
      </c>
      <c r="G214" s="20">
        <f t="shared" ca="1" si="18"/>
        <v>0.14883477321058833</v>
      </c>
      <c r="H214" s="20">
        <f t="shared" ca="1" si="14"/>
        <v>0.15604806116420394</v>
      </c>
      <c r="I214" s="20">
        <f t="shared" ca="1" si="13"/>
        <v>0.17055812513877952</v>
      </c>
      <c r="J214" s="20">
        <f t="shared" ca="1" si="15"/>
        <v>0.16850704568429797</v>
      </c>
      <c r="K214" s="36">
        <v>15</v>
      </c>
      <c r="M214" s="3"/>
      <c r="N214" s="3"/>
      <c r="O214" s="3"/>
    </row>
    <row r="215" spans="1:15" x14ac:dyDescent="0.25">
      <c r="A215" s="14" t="s">
        <v>6</v>
      </c>
      <c r="B215" s="14">
        <v>44779</v>
      </c>
      <c r="C215" s="15">
        <v>0.14499999999999999</v>
      </c>
      <c r="D215" s="16">
        <f t="shared" ca="1" si="16"/>
        <v>109.57764888492456</v>
      </c>
      <c r="E215" s="17">
        <f>+E214*(1+C214*F215/365)</f>
        <v>109.57764888492456</v>
      </c>
      <c r="F215" s="18">
        <f t="shared" si="17"/>
        <v>1</v>
      </c>
      <c r="G215" s="15">
        <f t="shared" ca="1" si="18"/>
        <v>0.14811874292281527</v>
      </c>
      <c r="H215" s="15">
        <f t="shared" ca="1" si="14"/>
        <v>0.15539510651384508</v>
      </c>
      <c r="I215" s="15">
        <f t="shared" ca="1" si="13"/>
        <v>0.17015308110891894</v>
      </c>
      <c r="J215" s="15">
        <f t="shared" ca="1" si="15"/>
        <v>0.16859951787523758</v>
      </c>
      <c r="K215" s="36">
        <v>15</v>
      </c>
      <c r="M215" s="3"/>
      <c r="N215" s="3"/>
      <c r="O215" s="3"/>
    </row>
    <row r="216" spans="1:15" x14ac:dyDescent="0.25">
      <c r="A216" s="14" t="s">
        <v>6</v>
      </c>
      <c r="B216" s="14">
        <v>44780</v>
      </c>
      <c r="C216" s="15">
        <v>0.14499999999999999</v>
      </c>
      <c r="D216" s="16">
        <f t="shared" ca="1" si="16"/>
        <v>109.62116244553285</v>
      </c>
      <c r="E216" s="17">
        <f>+E214*(1+C215*F216/365)</f>
        <v>109.62116244553285</v>
      </c>
      <c r="F216" s="18">
        <f t="shared" si="17"/>
        <v>2</v>
      </c>
      <c r="G216" s="15">
        <f t="shared" ca="1" si="18"/>
        <v>0.1474033006697828</v>
      </c>
      <c r="H216" s="15">
        <f t="shared" ca="1" si="14"/>
        <v>0.15488699930260219</v>
      </c>
      <c r="I216" s="15">
        <f t="shared" ca="1" si="13"/>
        <v>0.16974843618090604</v>
      </c>
      <c r="J216" s="15">
        <f t="shared" ca="1" si="15"/>
        <v>0.16871947974803128</v>
      </c>
      <c r="K216" s="36">
        <v>15</v>
      </c>
      <c r="M216" s="3"/>
      <c r="N216" s="3"/>
      <c r="O216" s="3"/>
    </row>
    <row r="217" spans="1:15" x14ac:dyDescent="0.25">
      <c r="A217" s="8" t="s">
        <v>7</v>
      </c>
      <c r="B217" s="8">
        <v>44781</v>
      </c>
      <c r="C217" s="9">
        <v>0.14499999999999999</v>
      </c>
      <c r="D217" s="10">
        <f t="shared" ca="1" si="16"/>
        <v>109.66467600614114</v>
      </c>
      <c r="E217" s="11">
        <f>+E214*(1+C216*F217/365)</f>
        <v>109.66467600614114</v>
      </c>
      <c r="F217" s="12">
        <f t="shared" si="17"/>
        <v>3</v>
      </c>
      <c r="G217" s="20">
        <f t="shared" ca="1" si="18"/>
        <v>0.14668844572737713</v>
      </c>
      <c r="H217" s="20">
        <f t="shared" ca="1" si="14"/>
        <v>0.15437697167484379</v>
      </c>
      <c r="I217" s="20">
        <f t="shared" ca="1" si="13"/>
        <v>0.16934418976515972</v>
      </c>
      <c r="J217" s="20">
        <f t="shared" ca="1" si="15"/>
        <v>0.16882139240456284</v>
      </c>
      <c r="K217" s="36">
        <v>15</v>
      </c>
      <c r="M217" s="3"/>
      <c r="N217" s="3"/>
      <c r="O217" s="3"/>
    </row>
    <row r="218" spans="1:15" x14ac:dyDescent="0.25">
      <c r="A218" s="8" t="s">
        <v>7</v>
      </c>
      <c r="B218" s="8">
        <v>44782</v>
      </c>
      <c r="C218" s="9">
        <v>0.14499999999999999</v>
      </c>
      <c r="D218" s="10">
        <f t="shared" ca="1" si="16"/>
        <v>109.70824142537644</v>
      </c>
      <c r="E218" s="11">
        <f>+E217*(1+C217*F218/365)</f>
        <v>109.70824142537644</v>
      </c>
      <c r="F218" s="12">
        <f t="shared" si="17"/>
        <v>1</v>
      </c>
      <c r="G218" s="20">
        <f t="shared" ca="1" si="18"/>
        <v>0.14597244482925478</v>
      </c>
      <c r="H218" s="20">
        <f t="shared" ca="1" si="14"/>
        <v>0.15387321467060489</v>
      </c>
      <c r="I218" s="20">
        <f t="shared" ca="1" si="13"/>
        <v>0.16893926208268426</v>
      </c>
      <c r="J218" s="20">
        <f t="shared" ca="1" si="15"/>
        <v>0.16892400231223437</v>
      </c>
      <c r="K218" s="36">
        <v>15</v>
      </c>
      <c r="M218" s="3"/>
      <c r="N218" s="3"/>
      <c r="O218" s="3"/>
    </row>
    <row r="219" spans="1:15" x14ac:dyDescent="0.25">
      <c r="A219" s="8" t="s">
        <v>7</v>
      </c>
      <c r="B219" s="8">
        <v>44783</v>
      </c>
      <c r="C219" s="9">
        <v>0.14499999999999999</v>
      </c>
      <c r="D219" s="10">
        <f t="shared" ca="1" si="16"/>
        <v>109.75182415142214</v>
      </c>
      <c r="E219" s="11">
        <f>+E218*(1+C218*F219/365)</f>
        <v>109.75182415142214</v>
      </c>
      <c r="F219" s="12">
        <f t="shared" si="17"/>
        <v>1</v>
      </c>
      <c r="G219" s="20">
        <f t="shared" ca="1" si="18"/>
        <v>0.14525645373534735</v>
      </c>
      <c r="H219" s="20">
        <f t="shared" ca="1" si="14"/>
        <v>0.15337184148826033</v>
      </c>
      <c r="I219" s="20">
        <f t="shared" ca="1" si="13"/>
        <v>0.16853437320975168</v>
      </c>
      <c r="J219" s="20">
        <f t="shared" ca="1" si="15"/>
        <v>0.1690142455864139</v>
      </c>
      <c r="K219" s="36">
        <v>15</v>
      </c>
      <c r="M219" s="3"/>
      <c r="N219" s="3"/>
      <c r="O219" s="3"/>
    </row>
    <row r="220" spans="1:15" x14ac:dyDescent="0.25">
      <c r="A220" s="8" t="s">
        <v>7</v>
      </c>
      <c r="B220" s="8">
        <v>44784</v>
      </c>
      <c r="C220" s="9">
        <v>0.14499999999999999</v>
      </c>
      <c r="D220" s="10">
        <f t="shared" ca="1" si="16"/>
        <v>109.79542419115353</v>
      </c>
      <c r="E220" s="11">
        <f>+E219*(1+C219*F220/365)</f>
        <v>109.79542419115353</v>
      </c>
      <c r="F220" s="12">
        <f t="shared" si="17"/>
        <v>1</v>
      </c>
      <c r="G220" s="20">
        <f t="shared" ca="1" si="18"/>
        <v>0.14514819326648015</v>
      </c>
      <c r="H220" s="20">
        <f t="shared" ca="1" si="14"/>
        <v>0.15287284976983884</v>
      </c>
      <c r="I220" s="20">
        <f t="shared" ref="I220:I283" ca="1" si="19">($D220/OFFSET($D220,-90,0)-1)*365/90</f>
        <v>0.16812952314264279</v>
      </c>
      <c r="J220" s="20">
        <f t="shared" ca="1" si="15"/>
        <v>0.16911266184167506</v>
      </c>
      <c r="K220" s="36">
        <v>15</v>
      </c>
      <c r="M220" s="3"/>
      <c r="N220" s="3"/>
      <c r="O220" s="3"/>
    </row>
    <row r="221" spans="1:15" x14ac:dyDescent="0.25">
      <c r="A221" s="8" t="s">
        <v>7</v>
      </c>
      <c r="B221" s="8">
        <v>44785</v>
      </c>
      <c r="C221" s="9">
        <v>0.14499999999999999</v>
      </c>
      <c r="D221" s="10">
        <f t="shared" ca="1" si="16"/>
        <v>109.83904155144864</v>
      </c>
      <c r="E221" s="11">
        <f>+E220*(1+C220*F221/365)</f>
        <v>109.83904155144864</v>
      </c>
      <c r="F221" s="12">
        <f t="shared" si="17"/>
        <v>1</v>
      </c>
      <c r="G221" s="20">
        <f t="shared" ca="1" si="18"/>
        <v>0.14514819326648015</v>
      </c>
      <c r="H221" s="20">
        <f t="shared" ca="1" si="14"/>
        <v>0.15237623716181584</v>
      </c>
      <c r="I221" s="20">
        <f t="shared" ca="1" si="19"/>
        <v>0.16772471187763854</v>
      </c>
      <c r="J221" s="20">
        <f t="shared" ca="1" si="15"/>
        <v>0.16921135521738909</v>
      </c>
      <c r="K221" s="36">
        <v>15</v>
      </c>
      <c r="M221" s="3"/>
      <c r="N221" s="3"/>
      <c r="O221" s="3"/>
    </row>
    <row r="222" spans="1:15" x14ac:dyDescent="0.25">
      <c r="A222" s="14" t="s">
        <v>6</v>
      </c>
      <c r="B222" s="14">
        <v>44786</v>
      </c>
      <c r="C222" s="15">
        <v>0.14499999999999999</v>
      </c>
      <c r="D222" s="16">
        <f t="shared" ca="1" si="16"/>
        <v>109.88267623918826</v>
      </c>
      <c r="E222" s="17">
        <f>+E221*(1+C221*F222/365)</f>
        <v>109.88267623918826</v>
      </c>
      <c r="F222" s="18">
        <f t="shared" si="17"/>
        <v>1</v>
      </c>
      <c r="G222" s="15">
        <f t="shared" ca="1" si="18"/>
        <v>0.14514819326648015</v>
      </c>
      <c r="H222" s="15">
        <f t="shared" ca="1" si="14"/>
        <v>0.15187019695051759</v>
      </c>
      <c r="I222" s="15">
        <f t="shared" ca="1" si="19"/>
        <v>0.16732096539226876</v>
      </c>
      <c r="J222" s="15">
        <f t="shared" ca="1" si="15"/>
        <v>0.16931032555843484</v>
      </c>
      <c r="K222" s="36">
        <v>15</v>
      </c>
      <c r="M222" s="3"/>
      <c r="N222" s="3"/>
      <c r="O222" s="3"/>
    </row>
    <row r="223" spans="1:15" x14ac:dyDescent="0.25">
      <c r="A223" s="14" t="s">
        <v>6</v>
      </c>
      <c r="B223" s="14">
        <v>44787</v>
      </c>
      <c r="C223" s="15">
        <v>0.14499999999999999</v>
      </c>
      <c r="D223" s="16">
        <f t="shared" ca="1" si="16"/>
        <v>109.92631092692787</v>
      </c>
      <c r="E223" s="17">
        <f>+E221*(1+C222*F223/365)</f>
        <v>109.92631092692787</v>
      </c>
      <c r="F223" s="18">
        <f t="shared" si="17"/>
        <v>2</v>
      </c>
      <c r="G223" s="15">
        <f t="shared" ca="1" si="18"/>
        <v>0.14514819326648015</v>
      </c>
      <c r="H223" s="15">
        <f t="shared" ca="1" si="14"/>
        <v>0.15136223509092198</v>
      </c>
      <c r="I223" s="15">
        <f t="shared" ca="1" si="19"/>
        <v>0.16691761653434009</v>
      </c>
      <c r="J223" s="15">
        <f t="shared" ca="1" si="15"/>
        <v>0.16940648627957317</v>
      </c>
      <c r="K223" s="36">
        <v>15</v>
      </c>
      <c r="M223" s="3"/>
      <c r="N223" s="3"/>
      <c r="O223" s="3"/>
    </row>
    <row r="224" spans="1:15" x14ac:dyDescent="0.25">
      <c r="A224" s="8" t="s">
        <v>7</v>
      </c>
      <c r="B224" s="8">
        <v>44788</v>
      </c>
      <c r="C224" s="9">
        <v>0.14499999999999999</v>
      </c>
      <c r="D224" s="10">
        <f t="shared" ca="1" si="16"/>
        <v>109.96994561466748</v>
      </c>
      <c r="E224" s="11">
        <f>+E221*(1+C223*F224/365)</f>
        <v>109.96994561466748</v>
      </c>
      <c r="F224" s="12">
        <f t="shared" si="17"/>
        <v>3</v>
      </c>
      <c r="G224" s="20">
        <f t="shared" ca="1" si="18"/>
        <v>0.14514819326648015</v>
      </c>
      <c r="H224" s="20">
        <f t="shared" ref="H224:H287" ca="1" si="20">($D224/OFFSET($D224,-30,0)-1)*365/30</f>
        <v>0.15085235336417493</v>
      </c>
      <c r="I224" s="20">
        <f t="shared" ca="1" si="19"/>
        <v>0.16651159039139682</v>
      </c>
      <c r="J224" s="20">
        <f t="shared" ca="1" si="15"/>
        <v>0.16949605667162465</v>
      </c>
      <c r="K224" s="36">
        <v>15</v>
      </c>
      <c r="M224" s="3"/>
      <c r="N224" s="3"/>
      <c r="O224" s="3"/>
    </row>
    <row r="225" spans="1:15" x14ac:dyDescent="0.25">
      <c r="A225" s="8" t="s">
        <v>7</v>
      </c>
      <c r="B225" s="8">
        <v>44789</v>
      </c>
      <c r="C225" s="9">
        <v>0.14499999999999999</v>
      </c>
      <c r="D225" s="10">
        <f t="shared" ca="1" si="16"/>
        <v>110.01363230539111</v>
      </c>
      <c r="E225" s="11">
        <f>+E224*(1+C224*F225/365)</f>
        <v>110.01363230539111</v>
      </c>
      <c r="F225" s="12">
        <f t="shared" si="17"/>
        <v>1</v>
      </c>
      <c r="G225" s="20">
        <f t="shared" ca="1" si="18"/>
        <v>0.14514819326648015</v>
      </c>
      <c r="H225" s="20">
        <f t="shared" ca="1" si="20"/>
        <v>0.15034637575079793</v>
      </c>
      <c r="I225" s="20">
        <f t="shared" ca="1" si="19"/>
        <v>0.16610693419415612</v>
      </c>
      <c r="J225" s="20">
        <f t="shared" ca="1" si="15"/>
        <v>0.16961641401962596</v>
      </c>
      <c r="K225" s="36">
        <v>15</v>
      </c>
      <c r="M225" s="3"/>
      <c r="N225" s="3"/>
      <c r="O225" s="3"/>
    </row>
    <row r="226" spans="1:15" x14ac:dyDescent="0.25">
      <c r="A226" s="8" t="s">
        <v>7</v>
      </c>
      <c r="B226" s="8">
        <v>44790</v>
      </c>
      <c r="C226" s="9">
        <v>0.14499999999999999</v>
      </c>
      <c r="D226" s="10">
        <f t="shared" ca="1" si="16"/>
        <v>110.05733635110147</v>
      </c>
      <c r="E226" s="11">
        <f>+E225*(1+C225*F226/365)</f>
        <v>110.05733635110147</v>
      </c>
      <c r="F226" s="12">
        <f t="shared" si="17"/>
        <v>1</v>
      </c>
      <c r="G226" s="20">
        <f t="shared" ca="1" si="18"/>
        <v>0.14514819326648015</v>
      </c>
      <c r="H226" s="20">
        <f t="shared" ca="1" si="20"/>
        <v>0.14984278354111719</v>
      </c>
      <c r="I226" s="20">
        <f t="shared" ca="1" si="19"/>
        <v>0.16573184368851707</v>
      </c>
      <c r="J226" s="20">
        <f t="shared" ca="1" si="15"/>
        <v>0.16970668573895048</v>
      </c>
      <c r="K226" s="36">
        <v>15</v>
      </c>
      <c r="M226" s="3"/>
      <c r="N226" s="3"/>
      <c r="O226" s="3"/>
    </row>
    <row r="227" spans="1:15" x14ac:dyDescent="0.25">
      <c r="A227" s="8" t="s">
        <v>7</v>
      </c>
      <c r="B227" s="8">
        <v>44791</v>
      </c>
      <c r="C227" s="9">
        <v>0.14499999999999999</v>
      </c>
      <c r="D227" s="10">
        <f t="shared" ca="1" si="16"/>
        <v>110.101057758693</v>
      </c>
      <c r="E227" s="11">
        <f>+E226*(1+C226*F227/365)</f>
        <v>110.101057758693</v>
      </c>
      <c r="F227" s="12">
        <f t="shared" si="17"/>
        <v>1</v>
      </c>
      <c r="G227" s="20">
        <f t="shared" ca="1" si="18"/>
        <v>0.14514819326648015</v>
      </c>
      <c r="H227" s="20">
        <f t="shared" ca="1" si="20"/>
        <v>0.14933684739873301</v>
      </c>
      <c r="I227" s="20">
        <f t="shared" ca="1" si="19"/>
        <v>0.16532726222465341</v>
      </c>
      <c r="J227" s="20">
        <f t="shared" ca="1" si="15"/>
        <v>0.16979696116675067</v>
      </c>
      <c r="K227" s="36">
        <v>15</v>
      </c>
      <c r="M227" s="3"/>
      <c r="N227" s="3"/>
      <c r="O227" s="3"/>
    </row>
    <row r="228" spans="1:15" x14ac:dyDescent="0.25">
      <c r="A228" s="8" t="s">
        <v>7</v>
      </c>
      <c r="B228" s="8">
        <v>44792</v>
      </c>
      <c r="C228" s="9">
        <v>0.14499999999999999</v>
      </c>
      <c r="D228" s="10">
        <f t="shared" ca="1" si="16"/>
        <v>110.14479653506289</v>
      </c>
      <c r="E228" s="11">
        <f>+E227*(1+C227*F228/365)</f>
        <v>110.14479653506289</v>
      </c>
      <c r="F228" s="12">
        <f t="shared" si="17"/>
        <v>1</v>
      </c>
      <c r="G228" s="20">
        <f t="shared" ca="1" si="18"/>
        <v>0.14514819326648015</v>
      </c>
      <c r="H228" s="20">
        <f t="shared" ca="1" si="20"/>
        <v>0.14883093203913583</v>
      </c>
      <c r="I228" s="20">
        <f t="shared" ca="1" si="19"/>
        <v>0.16498122179827404</v>
      </c>
      <c r="J228" s="20">
        <f t="shared" ca="1" si="15"/>
        <v>0.16988751888528775</v>
      </c>
      <c r="K228" s="36">
        <v>15</v>
      </c>
      <c r="M228" s="3"/>
      <c r="N228" s="3"/>
      <c r="O228" s="3"/>
    </row>
    <row r="229" spans="1:15" x14ac:dyDescent="0.25">
      <c r="A229" s="14" t="s">
        <v>6</v>
      </c>
      <c r="B229" s="14">
        <v>44793</v>
      </c>
      <c r="C229" s="15">
        <v>0.14499999999999999</v>
      </c>
      <c r="D229" s="16">
        <f t="shared" ca="1" si="16"/>
        <v>110.18855268711107</v>
      </c>
      <c r="E229" s="17">
        <f>+E228*(1+C228*F229/365)</f>
        <v>110.18855268711107</v>
      </c>
      <c r="F229" s="18">
        <f t="shared" si="17"/>
        <v>1</v>
      </c>
      <c r="G229" s="15">
        <f t="shared" ca="1" si="18"/>
        <v>0.14514819326648015</v>
      </c>
      <c r="H229" s="15">
        <f t="shared" ca="1" si="20"/>
        <v>0.14836892621210793</v>
      </c>
      <c r="I229" s="15">
        <f t="shared" ca="1" si="19"/>
        <v>0.16463617824026777</v>
      </c>
      <c r="J229" s="15">
        <f t="shared" ca="1" si="15"/>
        <v>0.16997835873087888</v>
      </c>
      <c r="K229" s="36">
        <v>15</v>
      </c>
      <c r="M229" s="3"/>
      <c r="N229" s="3"/>
      <c r="O229" s="3"/>
    </row>
    <row r="230" spans="1:15" x14ac:dyDescent="0.25">
      <c r="A230" s="14" t="s">
        <v>6</v>
      </c>
      <c r="B230" s="14">
        <v>44794</v>
      </c>
      <c r="C230" s="15">
        <v>0.14499999999999999</v>
      </c>
      <c r="D230" s="16">
        <f t="shared" ca="1" si="16"/>
        <v>110.23230883915924</v>
      </c>
      <c r="E230" s="17">
        <f>+E228*(1+C229*F230/365)</f>
        <v>110.23230883915924</v>
      </c>
      <c r="F230" s="18">
        <f t="shared" si="17"/>
        <v>2</v>
      </c>
      <c r="G230" s="15">
        <f t="shared" ca="1" si="18"/>
        <v>0.14514819326648015</v>
      </c>
      <c r="H230" s="15">
        <f t="shared" ca="1" si="20"/>
        <v>0.14786110872939698</v>
      </c>
      <c r="I230" s="15">
        <f t="shared" ca="1" si="19"/>
        <v>0.16429146495407201</v>
      </c>
      <c r="J230" s="15">
        <f t="shared" ca="1" si="15"/>
        <v>0.17006829874003931</v>
      </c>
      <c r="K230" s="36">
        <v>15</v>
      </c>
      <c r="M230" s="3"/>
      <c r="N230" s="3"/>
      <c r="O230" s="3"/>
    </row>
    <row r="231" spans="1:15" x14ac:dyDescent="0.25">
      <c r="A231" s="8" t="s">
        <v>7</v>
      </c>
      <c r="B231" s="8">
        <v>44795</v>
      </c>
      <c r="C231" s="9">
        <v>0.14499999999999999</v>
      </c>
      <c r="D231" s="10">
        <f t="shared" ca="1" si="16"/>
        <v>110.27606499120742</v>
      </c>
      <c r="E231" s="11">
        <f>+E228*(1+C230*F231/365)</f>
        <v>110.27606499120742</v>
      </c>
      <c r="F231" s="12">
        <f t="shared" si="17"/>
        <v>3</v>
      </c>
      <c r="G231" s="20">
        <f t="shared" ca="1" si="18"/>
        <v>0.14514819326648015</v>
      </c>
      <c r="H231" s="20">
        <f t="shared" ca="1" si="20"/>
        <v>0.14768860369403675</v>
      </c>
      <c r="I231" s="20">
        <f t="shared" ca="1" si="19"/>
        <v>0.16391088921276403</v>
      </c>
      <c r="J231" s="20">
        <f t="shared" ca="1" si="15"/>
        <v>0.17016027631214151</v>
      </c>
      <c r="K231" s="36">
        <v>15</v>
      </c>
      <c r="M231" s="3"/>
      <c r="N231" s="3"/>
      <c r="O231" s="3"/>
    </row>
    <row r="232" spans="1:15" x14ac:dyDescent="0.25">
      <c r="A232" s="8" t="s">
        <v>7</v>
      </c>
      <c r="B232" s="8">
        <v>44796</v>
      </c>
      <c r="C232" s="9">
        <v>0.14499999999999999</v>
      </c>
      <c r="D232" s="10">
        <f t="shared" ca="1" si="16"/>
        <v>110.31987329099844</v>
      </c>
      <c r="E232" s="11">
        <f>+E231*(1+C231*F232/365)</f>
        <v>110.31987329099844</v>
      </c>
      <c r="F232" s="12">
        <f t="shared" si="17"/>
        <v>1</v>
      </c>
      <c r="G232" s="20">
        <f t="shared" ca="1" si="18"/>
        <v>0.14514819326648015</v>
      </c>
      <c r="H232" s="20">
        <f t="shared" ca="1" si="20"/>
        <v>0.1475220611927264</v>
      </c>
      <c r="I232" s="20">
        <f t="shared" ca="1" si="19"/>
        <v>0.16357658877878245</v>
      </c>
      <c r="J232" s="20">
        <f t="shared" ca="1" si="15"/>
        <v>0.17025057037401339</v>
      </c>
      <c r="K232" s="36">
        <v>15</v>
      </c>
      <c r="M232" s="3"/>
      <c r="N232" s="3"/>
      <c r="O232" s="3"/>
    </row>
    <row r="233" spans="1:15" x14ac:dyDescent="0.25">
      <c r="A233" s="8" t="s">
        <v>7</v>
      </c>
      <c r="B233" s="8">
        <v>44797</v>
      </c>
      <c r="C233" s="9">
        <v>0.14499999999999999</v>
      </c>
      <c r="D233" s="10">
        <f t="shared" ca="1" si="16"/>
        <v>110.36369899408665</v>
      </c>
      <c r="E233" s="11">
        <f>+E232*(1+C232*F233/365)</f>
        <v>110.36369899408665</v>
      </c>
      <c r="F233" s="12">
        <f t="shared" si="17"/>
        <v>1</v>
      </c>
      <c r="G233" s="20">
        <f t="shared" ca="1" si="18"/>
        <v>0.14514819326648015</v>
      </c>
      <c r="H233" s="20">
        <f t="shared" ca="1" si="20"/>
        <v>0.1473575972106658</v>
      </c>
      <c r="I233" s="20">
        <f t="shared" ca="1" si="19"/>
        <v>0.16325359552227747</v>
      </c>
      <c r="J233" s="20">
        <f t="shared" ca="1" si="15"/>
        <v>0.17034086814527902</v>
      </c>
      <c r="K233" s="36">
        <v>15</v>
      </c>
      <c r="M233" s="3"/>
      <c r="N233" s="3"/>
      <c r="O233" s="3"/>
    </row>
    <row r="234" spans="1:15" x14ac:dyDescent="0.25">
      <c r="A234" s="8" t="s">
        <v>7</v>
      </c>
      <c r="B234" s="8">
        <v>44798</v>
      </c>
      <c r="C234" s="9">
        <v>0.14499999999999999</v>
      </c>
      <c r="D234" s="10">
        <f t="shared" ca="1" si="16"/>
        <v>110.40754210738567</v>
      </c>
      <c r="E234" s="11">
        <f>+E233*(1+C233*F234/365)</f>
        <v>110.40754210738567</v>
      </c>
      <c r="F234" s="12">
        <f t="shared" si="17"/>
        <v>1</v>
      </c>
      <c r="G234" s="20">
        <f t="shared" ca="1" si="18"/>
        <v>0.14514819326648015</v>
      </c>
      <c r="H234" s="20">
        <f t="shared" ca="1" si="20"/>
        <v>0.14718898124100985</v>
      </c>
      <c r="I234" s="20">
        <f t="shared" ca="1" si="19"/>
        <v>0.16296477051262015</v>
      </c>
      <c r="J234" s="20">
        <f t="shared" ca="1" si="15"/>
        <v>0.17043116962609103</v>
      </c>
      <c r="K234" s="36">
        <v>15</v>
      </c>
      <c r="M234" s="3"/>
      <c r="N234" s="3"/>
      <c r="O234" s="3"/>
    </row>
    <row r="235" spans="1:15" x14ac:dyDescent="0.25">
      <c r="A235" s="8" t="s">
        <v>7</v>
      </c>
      <c r="B235" s="8">
        <v>44799</v>
      </c>
      <c r="C235" s="9">
        <v>0.14499999999999999</v>
      </c>
      <c r="D235" s="10">
        <f t="shared" ca="1" si="16"/>
        <v>110.45140263781188</v>
      </c>
      <c r="E235" s="11">
        <f>+E234*(1+C234*F235/365)</f>
        <v>110.45140263781188</v>
      </c>
      <c r="F235" s="12">
        <f t="shared" si="17"/>
        <v>1</v>
      </c>
      <c r="G235" s="20">
        <f t="shared" ca="1" si="18"/>
        <v>0.14514819326648015</v>
      </c>
      <c r="H235" s="20">
        <f t="shared" ca="1" si="20"/>
        <v>0.14702036758021389</v>
      </c>
      <c r="I235" s="20">
        <f t="shared" ca="1" si="19"/>
        <v>0.1626759652762868</v>
      </c>
      <c r="J235" s="20">
        <f t="shared" ca="1" si="15"/>
        <v>0.17052175347910672</v>
      </c>
      <c r="K235" s="36">
        <v>15</v>
      </c>
      <c r="M235" s="3"/>
      <c r="N235" s="3"/>
      <c r="O235" s="3"/>
    </row>
    <row r="236" spans="1:15" x14ac:dyDescent="0.25">
      <c r="A236" s="14" t="s">
        <v>6</v>
      </c>
      <c r="B236" s="14">
        <v>44800</v>
      </c>
      <c r="C236" s="15">
        <v>0.14499999999999999</v>
      </c>
      <c r="D236" s="16">
        <f t="shared" ca="1" si="16"/>
        <v>110.49528059228443</v>
      </c>
      <c r="E236" s="17">
        <f>+E235*(1+C235*F236/365)</f>
        <v>110.49528059228443</v>
      </c>
      <c r="F236" s="18">
        <f t="shared" si="17"/>
        <v>1</v>
      </c>
      <c r="G236" s="15">
        <f t="shared" ca="1" si="18"/>
        <v>0.14514819326648015</v>
      </c>
      <c r="H236" s="15">
        <f t="shared" ca="1" si="20"/>
        <v>0.14685175622824279</v>
      </c>
      <c r="I236" s="15">
        <f t="shared" ca="1" si="19"/>
        <v>0.16238809394291717</v>
      </c>
      <c r="J236" s="15">
        <f t="shared" ca="1" si="15"/>
        <v>0.17061261954059737</v>
      </c>
      <c r="K236" s="36">
        <v>15</v>
      </c>
      <c r="M236" s="3"/>
      <c r="N236" s="3"/>
      <c r="O236" s="3"/>
    </row>
    <row r="237" spans="1:15" x14ac:dyDescent="0.25">
      <c r="A237" s="14" t="s">
        <v>6</v>
      </c>
      <c r="B237" s="14">
        <v>44801</v>
      </c>
      <c r="C237" s="15">
        <v>0.14499999999999999</v>
      </c>
      <c r="D237" s="16">
        <f t="shared" ca="1" si="16"/>
        <v>110.53915854675698</v>
      </c>
      <c r="E237" s="17">
        <f>+E235*(1+C236*F237/365)</f>
        <v>110.53915854675698</v>
      </c>
      <c r="F237" s="18">
        <f t="shared" si="17"/>
        <v>2</v>
      </c>
      <c r="G237" s="15">
        <f t="shared" ca="1" si="18"/>
        <v>0.14514819326648015</v>
      </c>
      <c r="H237" s="15">
        <f t="shared" ca="1" si="20"/>
        <v>0.14668120548786187</v>
      </c>
      <c r="I237" s="15">
        <f t="shared" ca="1" si="19"/>
        <v>0.16210049038950758</v>
      </c>
      <c r="J237" s="15">
        <f t="shared" ca="1" si="15"/>
        <v>0.17070258550596928</v>
      </c>
      <c r="K237" s="36">
        <v>15</v>
      </c>
      <c r="M237" s="3"/>
      <c r="N237" s="3"/>
      <c r="O237" s="3"/>
    </row>
    <row r="238" spans="1:15" x14ac:dyDescent="0.25">
      <c r="A238" s="8" t="s">
        <v>7</v>
      </c>
      <c r="B238" s="8">
        <v>44802</v>
      </c>
      <c r="C238" s="9">
        <v>0.14499999999999999</v>
      </c>
      <c r="D238" s="10">
        <f t="shared" ca="1" si="16"/>
        <v>110.58303650122954</v>
      </c>
      <c r="E238" s="11">
        <f>+E235*(1+C237*F238/365)</f>
        <v>110.58303650122954</v>
      </c>
      <c r="F238" s="12">
        <f t="shared" si="17"/>
        <v>3</v>
      </c>
      <c r="G238" s="20">
        <f t="shared" ca="1" si="18"/>
        <v>0.14514819326648015</v>
      </c>
      <c r="H238" s="20">
        <f t="shared" ca="1" si="20"/>
        <v>0.14650871698088563</v>
      </c>
      <c r="I238" s="20">
        <f t="shared" ca="1" si="19"/>
        <v>0.16173356405158359</v>
      </c>
      <c r="J238" s="20">
        <f t="shared" ca="1" si="15"/>
        <v>0.17079220873478917</v>
      </c>
      <c r="K238" s="36">
        <v>15</v>
      </c>
      <c r="M238" s="3"/>
      <c r="N238" s="3"/>
      <c r="O238" s="3"/>
    </row>
    <row r="239" spans="1:15" x14ac:dyDescent="0.25">
      <c r="A239" s="8" t="s">
        <v>7</v>
      </c>
      <c r="B239" s="8">
        <v>44803</v>
      </c>
      <c r="C239" s="9">
        <v>0.14390800000000001</v>
      </c>
      <c r="D239" s="10">
        <f t="shared" ca="1" si="16"/>
        <v>110.62696674860675</v>
      </c>
      <c r="E239" s="11">
        <f>+E238*(1+C238*F239/365)</f>
        <v>110.62696674860675</v>
      </c>
      <c r="F239" s="12">
        <f t="shared" si="17"/>
        <v>1</v>
      </c>
      <c r="G239" s="20">
        <f t="shared" ca="1" si="18"/>
        <v>0.14514819326648015</v>
      </c>
      <c r="H239" s="20">
        <f t="shared" ca="1" si="20"/>
        <v>0.14634219043666674</v>
      </c>
      <c r="I239" s="20">
        <f t="shared" ca="1" si="19"/>
        <v>0.1613293657954194</v>
      </c>
      <c r="J239" s="20">
        <f t="shared" ca="1" si="15"/>
        <v>0.1708825287572405</v>
      </c>
      <c r="K239" s="36">
        <v>15</v>
      </c>
      <c r="M239" s="3"/>
      <c r="N239" s="3"/>
      <c r="O239" s="3"/>
    </row>
    <row r="240" spans="1:15" x14ac:dyDescent="0.25">
      <c r="A240" s="8" t="s">
        <v>7</v>
      </c>
      <c r="B240" s="8">
        <v>44804</v>
      </c>
      <c r="C240" s="9">
        <v>0.144423</v>
      </c>
      <c r="D240" s="10">
        <f t="shared" ca="1" si="16"/>
        <v>110.67058347608854</v>
      </c>
      <c r="E240" s="11">
        <f>+E239*(1+C239*F240/365)</f>
        <v>110.67058347608854</v>
      </c>
      <c r="F240" s="12">
        <f t="shared" si="17"/>
        <v>1</v>
      </c>
      <c r="G240" s="20">
        <f t="shared" ca="1" si="18"/>
        <v>0.14499182113533546</v>
      </c>
      <c r="H240" s="20">
        <f t="shared" ca="1" si="20"/>
        <v>0.14614091950897812</v>
      </c>
      <c r="I240" s="20">
        <f t="shared" ca="1" si="19"/>
        <v>0.1609125965019709</v>
      </c>
      <c r="J240" s="20">
        <f t="shared" ca="1" si="15"/>
        <v>0.17096627692239594</v>
      </c>
      <c r="K240" s="36">
        <v>15</v>
      </c>
      <c r="M240" s="3"/>
      <c r="N240" s="3"/>
      <c r="O240" s="3"/>
    </row>
    <row r="241" spans="1:11" x14ac:dyDescent="0.25">
      <c r="A241" s="14" t="s">
        <v>6</v>
      </c>
      <c r="B241" s="14">
        <v>44805</v>
      </c>
      <c r="C241" s="15">
        <v>0.144423</v>
      </c>
      <c r="D241" s="16">
        <f t="shared" ca="1" si="16"/>
        <v>110.71437355191694</v>
      </c>
      <c r="E241" s="17">
        <f>+E240*(1+C240*F241/365)</f>
        <v>110.71437355191694</v>
      </c>
      <c r="F241" s="18">
        <f t="shared" si="17"/>
        <v>1</v>
      </c>
      <c r="G241" s="15">
        <f t="shared" ca="1" si="18"/>
        <v>0.14490919618126571</v>
      </c>
      <c r="H241" s="15">
        <f t="shared" ca="1" si="20"/>
        <v>0.14595286383895434</v>
      </c>
      <c r="I241" s="15">
        <f t="shared" ca="1" si="19"/>
        <v>0.16053263031524834</v>
      </c>
      <c r="J241" s="15">
        <f t="shared" ca="1" si="15"/>
        <v>0.17105312951051765</v>
      </c>
      <c r="K241" s="36">
        <v>15</v>
      </c>
    </row>
    <row r="242" spans="1:11" x14ac:dyDescent="0.25">
      <c r="A242" s="14" t="s">
        <v>6</v>
      </c>
      <c r="B242" s="14">
        <v>44806</v>
      </c>
      <c r="C242" s="15">
        <v>0.144423</v>
      </c>
      <c r="D242" s="16">
        <f t="shared" ca="1" si="16"/>
        <v>110.75816362774533</v>
      </c>
      <c r="E242" s="17">
        <f>+E240*(1+C241*F242/365)</f>
        <v>110.75816362774533</v>
      </c>
      <c r="F242" s="18">
        <f t="shared" si="17"/>
        <v>2</v>
      </c>
      <c r="G242" s="15">
        <f t="shared" ca="1" si="18"/>
        <v>0.14481839155589871</v>
      </c>
      <c r="H242" s="15">
        <f t="shared" ca="1" si="20"/>
        <v>0.1457628849039922</v>
      </c>
      <c r="I242" s="15">
        <f t="shared" ca="1" si="19"/>
        <v>0.16015820148515156</v>
      </c>
      <c r="J242" s="15">
        <f t="shared" ca="1" si="15"/>
        <v>0.1711399202750811</v>
      </c>
      <c r="K242" s="36">
        <v>15</v>
      </c>
    </row>
    <row r="243" spans="1:11" x14ac:dyDescent="0.25">
      <c r="A243" s="14" t="s">
        <v>6</v>
      </c>
      <c r="B243" s="14">
        <v>44807</v>
      </c>
      <c r="C243" s="15">
        <v>0.144423</v>
      </c>
      <c r="D243" s="16">
        <f t="shared" ca="1" si="16"/>
        <v>110.80195370357374</v>
      </c>
      <c r="E243" s="17">
        <f>+E240*(1+C242*F243/365)</f>
        <v>110.80195370357374</v>
      </c>
      <c r="F243" s="18">
        <f t="shared" si="17"/>
        <v>3</v>
      </c>
      <c r="G243" s="15">
        <f t="shared" ca="1" si="18"/>
        <v>0.14471941376861697</v>
      </c>
      <c r="H243" s="15">
        <f t="shared" ca="1" si="20"/>
        <v>0.14571408578043463</v>
      </c>
      <c r="I243" s="15">
        <f t="shared" ca="1" si="19"/>
        <v>0.15978413503230846</v>
      </c>
      <c r="J243" s="15">
        <f t="shared" ca="1" si="15"/>
        <v>0.17122664928207379</v>
      </c>
      <c r="K243" s="36">
        <v>15</v>
      </c>
    </row>
    <row r="244" spans="1:11" x14ac:dyDescent="0.25">
      <c r="A244" s="14" t="s">
        <v>6</v>
      </c>
      <c r="B244" s="14">
        <v>44808</v>
      </c>
      <c r="C244" s="15">
        <v>0.144423</v>
      </c>
      <c r="D244" s="16">
        <f t="shared" ca="1" si="16"/>
        <v>110.84574377940216</v>
      </c>
      <c r="E244" s="17">
        <f>+E240*(1+C243*F244/365)</f>
        <v>110.84574377940216</v>
      </c>
      <c r="F244" s="18">
        <f t="shared" si="17"/>
        <v>4</v>
      </c>
      <c r="G244" s="15">
        <f t="shared" ca="1" si="18"/>
        <v>0.14462051455878422</v>
      </c>
      <c r="H244" s="15">
        <f t="shared" ca="1" si="20"/>
        <v>0.1456888560170059</v>
      </c>
      <c r="I244" s="15">
        <f t="shared" ca="1" si="19"/>
        <v>0.15941043043090247</v>
      </c>
      <c r="J244" s="15">
        <f t="shared" ca="1" si="15"/>
        <v>0.17131248090392781</v>
      </c>
      <c r="K244" s="36">
        <v>15</v>
      </c>
    </row>
    <row r="245" spans="1:11" x14ac:dyDescent="0.25">
      <c r="A245" s="22" t="s">
        <v>7</v>
      </c>
      <c r="B245" s="8">
        <v>44809</v>
      </c>
      <c r="C245" s="9">
        <v>0.14499999999999999</v>
      </c>
      <c r="D245" s="10">
        <f t="shared" ca="1" si="16"/>
        <v>110.88953385523057</v>
      </c>
      <c r="E245" s="11">
        <f>+E240*(1+C244*F245/365)</f>
        <v>110.88953385523057</v>
      </c>
      <c r="F245" s="12">
        <f t="shared" si="17"/>
        <v>5</v>
      </c>
      <c r="G245" s="20">
        <f t="shared" ca="1" si="18"/>
        <v>0.14452169383286148</v>
      </c>
      <c r="H245" s="20">
        <f t="shared" ca="1" si="20"/>
        <v>0.1456617047467893</v>
      </c>
      <c r="I245" s="20">
        <f t="shared" ca="1" si="19"/>
        <v>0.15901843718971151</v>
      </c>
      <c r="J245" s="20">
        <f t="shared" ca="1" si="15"/>
        <v>0.17139825142896878</v>
      </c>
      <c r="K245" s="36">
        <v>15</v>
      </c>
    </row>
    <row r="246" spans="1:11" x14ac:dyDescent="0.25">
      <c r="A246" s="22" t="s">
        <v>7</v>
      </c>
      <c r="B246" s="8">
        <v>44810</v>
      </c>
      <c r="C246" s="9">
        <v>0.14466619999999999</v>
      </c>
      <c r="D246" s="10">
        <f t="shared" ca="1" si="16"/>
        <v>110.93358586183059</v>
      </c>
      <c r="E246" s="11">
        <f>+E245*(1+C245*F246/365)</f>
        <v>110.93358586183059</v>
      </c>
      <c r="F246" s="12">
        <f t="shared" si="17"/>
        <v>1</v>
      </c>
      <c r="G246" s="20">
        <f t="shared" ca="1" si="18"/>
        <v>0.14452169383286148</v>
      </c>
      <c r="H246" s="20">
        <f t="shared" ca="1" si="20"/>
        <v>0.14566364628323078</v>
      </c>
      <c r="I246" s="20">
        <f t="shared" ca="1" si="19"/>
        <v>0.15872990212434931</v>
      </c>
      <c r="J246" s="20">
        <f t="shared" ref="J246:J309" ca="1" si="21">($D246/OFFSET($D246,-180,0)-1)*365/180</f>
        <v>0.17148859634841704</v>
      </c>
      <c r="K246" s="36">
        <v>15</v>
      </c>
    </row>
    <row r="247" spans="1:11" x14ac:dyDescent="0.25">
      <c r="A247" s="22" t="s">
        <v>7</v>
      </c>
      <c r="B247" s="8">
        <v>44811</v>
      </c>
      <c r="C247" s="9">
        <v>0.14459944</v>
      </c>
      <c r="D247" s="10">
        <f t="shared" ca="1" si="16"/>
        <v>110.97755391749909</v>
      </c>
      <c r="E247" s="11">
        <f>+E246*(1+C246*F247/365)</f>
        <v>110.97755391749909</v>
      </c>
      <c r="F247" s="12">
        <f t="shared" si="17"/>
        <v>1</v>
      </c>
      <c r="G247" s="20">
        <f t="shared" ca="1" si="18"/>
        <v>0.14463026552135733</v>
      </c>
      <c r="H247" s="20">
        <f t="shared" ca="1" si="20"/>
        <v>0.14565627240468421</v>
      </c>
      <c r="I247" s="20">
        <f t="shared" ca="1" si="19"/>
        <v>0.15843753455601714</v>
      </c>
      <c r="J247" s="20">
        <f t="shared" ca="1" si="21"/>
        <v>0.17157693442114744</v>
      </c>
      <c r="K247" s="36">
        <v>15</v>
      </c>
    </row>
    <row r="248" spans="1:11" x14ac:dyDescent="0.25">
      <c r="A248" s="22" t="s">
        <v>7</v>
      </c>
      <c r="B248" s="8">
        <v>44812</v>
      </c>
      <c r="C248" s="9">
        <v>0.14499999999999999</v>
      </c>
      <c r="D248" s="10">
        <f t="shared" ca="1" si="16"/>
        <v>111.02151910146905</v>
      </c>
      <c r="E248" s="11">
        <f>+E247*(1+C247*F248/365)</f>
        <v>111.02151910146905</v>
      </c>
      <c r="F248" s="12">
        <f t="shared" si="17"/>
        <v>1</v>
      </c>
      <c r="G248" s="20">
        <f t="shared" ca="1" si="18"/>
        <v>0.14465553115242621</v>
      </c>
      <c r="H248" s="20">
        <f t="shared" ca="1" si="20"/>
        <v>0.14564276592348607</v>
      </c>
      <c r="I248" s="20">
        <f t="shared" ca="1" si="19"/>
        <v>0.15814441687295161</v>
      </c>
      <c r="J248" s="20">
        <f t="shared" ca="1" si="21"/>
        <v>0.17166487391436716</v>
      </c>
      <c r="K248" s="36">
        <v>15</v>
      </c>
    </row>
    <row r="249" spans="1:11" x14ac:dyDescent="0.25">
      <c r="A249" s="22" t="s">
        <v>7</v>
      </c>
      <c r="B249" s="8">
        <v>44813</v>
      </c>
      <c r="C249" s="9">
        <v>0.14499999999999999</v>
      </c>
      <c r="D249" s="10">
        <f t="shared" ca="1" si="16"/>
        <v>111.06562354056416</v>
      </c>
      <c r="E249" s="11">
        <f>+E248*(1+C248*F249/365)</f>
        <v>111.06562354056416</v>
      </c>
      <c r="F249" s="12">
        <f t="shared" si="17"/>
        <v>1</v>
      </c>
      <c r="G249" s="20">
        <f t="shared" ca="1" si="18"/>
        <v>0.14474633549496488</v>
      </c>
      <c r="H249" s="20">
        <f t="shared" ca="1" si="20"/>
        <v>0.14564276592348607</v>
      </c>
      <c r="I249" s="20">
        <f t="shared" ca="1" si="19"/>
        <v>0.1578559416441252</v>
      </c>
      <c r="J249" s="20">
        <f t="shared" ca="1" si="21"/>
        <v>0.17175550860590252</v>
      </c>
      <c r="K249" s="36">
        <v>15</v>
      </c>
    </row>
    <row r="250" spans="1:11" x14ac:dyDescent="0.25">
      <c r="A250" s="14" t="s">
        <v>6</v>
      </c>
      <c r="B250" s="14">
        <v>44814</v>
      </c>
      <c r="C250" s="15">
        <v>0.14499999999999999</v>
      </c>
      <c r="D250" s="16">
        <f t="shared" ca="1" si="16"/>
        <v>111.10974550060082</v>
      </c>
      <c r="E250" s="17">
        <f>+E249*(1+C249*F250/365)</f>
        <v>111.10974550060082</v>
      </c>
      <c r="F250" s="18">
        <f t="shared" si="17"/>
        <v>1</v>
      </c>
      <c r="G250" s="15">
        <f t="shared" ca="1" si="18"/>
        <v>0.14484531333321313</v>
      </c>
      <c r="H250" s="15">
        <f t="shared" ca="1" si="20"/>
        <v>0.14564276592348607</v>
      </c>
      <c r="I250" s="15">
        <f t="shared" ca="1" si="19"/>
        <v>0.15756839925112343</v>
      </c>
      <c r="J250" s="15">
        <f t="shared" ca="1" si="21"/>
        <v>0.17184642566429661</v>
      </c>
      <c r="K250" s="36">
        <v>15</v>
      </c>
    </row>
    <row r="251" spans="1:11" x14ac:dyDescent="0.25">
      <c r="A251" s="14" t="s">
        <v>6</v>
      </c>
      <c r="B251" s="14">
        <v>44815</v>
      </c>
      <c r="C251" s="15">
        <v>0.14499999999999999</v>
      </c>
      <c r="D251" s="16">
        <f t="shared" ca="1" si="16"/>
        <v>111.15386746063749</v>
      </c>
      <c r="E251" s="17">
        <f>+E249*(1+C250*F251/365)</f>
        <v>111.15386746063749</v>
      </c>
      <c r="F251" s="18">
        <f t="shared" si="17"/>
        <v>2</v>
      </c>
      <c r="G251" s="15">
        <f t="shared" ca="1" si="18"/>
        <v>0.14494421296824941</v>
      </c>
      <c r="H251" s="15">
        <f t="shared" ca="1" si="20"/>
        <v>0.14564082439033782</v>
      </c>
      <c r="I251" s="15">
        <f t="shared" ca="1" si="19"/>
        <v>0.15728112433209951</v>
      </c>
      <c r="J251" s="15">
        <f t="shared" ca="1" si="21"/>
        <v>0.17193644212141007</v>
      </c>
      <c r="K251" s="36">
        <v>15</v>
      </c>
    </row>
    <row r="252" spans="1:11" x14ac:dyDescent="0.25">
      <c r="A252" s="22" t="s">
        <v>7</v>
      </c>
      <c r="B252" s="8">
        <v>44816</v>
      </c>
      <c r="C252" s="9">
        <v>0.14499999999999999</v>
      </c>
      <c r="D252" s="10">
        <f t="shared" ca="1" si="16"/>
        <v>111.19798942067413</v>
      </c>
      <c r="E252" s="11">
        <f>+E249*(1+C251*F252/365)</f>
        <v>111.19798942067413</v>
      </c>
      <c r="F252" s="12">
        <f t="shared" si="17"/>
        <v>3</v>
      </c>
      <c r="G252" s="20">
        <f t="shared" ca="1" si="18"/>
        <v>0.14504303449269801</v>
      </c>
      <c r="H252" s="20">
        <f t="shared" ca="1" si="20"/>
        <v>0.14563694286601425</v>
      </c>
      <c r="I252" s="20">
        <f t="shared" ca="1" si="19"/>
        <v>0.15699138017579181</v>
      </c>
      <c r="J252" s="20">
        <f t="shared" ca="1" si="21"/>
        <v>0.17202611564961579</v>
      </c>
      <c r="K252" s="36">
        <v>15</v>
      </c>
    </row>
    <row r="253" spans="1:11" x14ac:dyDescent="0.25">
      <c r="A253" s="22" t="s">
        <v>7</v>
      </c>
      <c r="B253" s="8">
        <v>44817</v>
      </c>
      <c r="C253" s="9">
        <v>0.14499999999999999</v>
      </c>
      <c r="D253" s="10">
        <f t="shared" ca="1" si="16"/>
        <v>111.24216396441659</v>
      </c>
      <c r="E253" s="11">
        <f>+E252*(1+C252*F253/365)</f>
        <v>111.24216396441659</v>
      </c>
      <c r="F253" s="12">
        <f t="shared" si="17"/>
        <v>1</v>
      </c>
      <c r="G253" s="20">
        <f t="shared" ca="1" si="18"/>
        <v>0.14504303449269801</v>
      </c>
      <c r="H253" s="20">
        <f t="shared" ca="1" si="20"/>
        <v>0.14563888439855199</v>
      </c>
      <c r="I253" s="20">
        <f t="shared" ca="1" si="19"/>
        <v>0.15670298388531526</v>
      </c>
      <c r="J253" s="20">
        <f t="shared" ca="1" si="21"/>
        <v>0.17211648636251611</v>
      </c>
      <c r="K253" s="36">
        <v>15</v>
      </c>
    </row>
    <row r="254" spans="1:11" x14ac:dyDescent="0.25">
      <c r="A254" s="22" t="s">
        <v>7</v>
      </c>
      <c r="B254" s="8">
        <v>44818</v>
      </c>
      <c r="C254" s="9">
        <v>0.14359</v>
      </c>
      <c r="D254" s="10">
        <f t="shared" ca="1" si="16"/>
        <v>111.2863560569504</v>
      </c>
      <c r="E254" s="11">
        <f>+E253*(1+C253*F254/365)</f>
        <v>111.2863560569504</v>
      </c>
      <c r="F254" s="12">
        <f t="shared" si="17"/>
        <v>1</v>
      </c>
      <c r="G254" s="20">
        <f t="shared" ca="1" si="18"/>
        <v>0.14509083390671901</v>
      </c>
      <c r="H254" s="20">
        <f t="shared" ca="1" si="20"/>
        <v>0.14564276592348607</v>
      </c>
      <c r="I254" s="20">
        <f t="shared" ca="1" si="19"/>
        <v>0.15641460733881404</v>
      </c>
      <c r="J254" s="20">
        <f t="shared" ca="1" si="21"/>
        <v>0.17205222462167619</v>
      </c>
      <c r="K254" s="36">
        <v>15</v>
      </c>
    </row>
    <row r="255" spans="1:11" x14ac:dyDescent="0.25">
      <c r="A255" s="22" t="s">
        <v>7</v>
      </c>
      <c r="B255" s="8">
        <v>44819</v>
      </c>
      <c r="C255" s="9">
        <v>0.14471799999999999</v>
      </c>
      <c r="D255" s="10">
        <f t="shared" ca="1" si="16"/>
        <v>111.33013580452906</v>
      </c>
      <c r="E255" s="11">
        <f>+E254*(1+C254*F255/365)</f>
        <v>111.33013580452906</v>
      </c>
      <c r="F255" s="12">
        <f t="shared" si="17"/>
        <v>1</v>
      </c>
      <c r="G255" s="20">
        <f t="shared" ca="1" si="18"/>
        <v>0.14494628419604391</v>
      </c>
      <c r="H255" s="20">
        <f t="shared" ca="1" si="20"/>
        <v>0.1455952221907223</v>
      </c>
      <c r="I255" s="20">
        <f t="shared" ca="1" si="19"/>
        <v>0.15610998721119559</v>
      </c>
      <c r="J255" s="20">
        <f t="shared" ca="1" si="21"/>
        <v>0.17195336601082245</v>
      </c>
      <c r="K255" s="36">
        <v>15</v>
      </c>
    </row>
    <row r="256" spans="1:11" x14ac:dyDescent="0.25">
      <c r="A256" s="22" t="s">
        <v>7</v>
      </c>
      <c r="B256" s="8">
        <v>44820</v>
      </c>
      <c r="C256" s="9">
        <v>0.142375</v>
      </c>
      <c r="D256" s="10">
        <f t="shared" ca="1" si="16"/>
        <v>111.37427683081224</v>
      </c>
      <c r="E256" s="11">
        <f>+E255*(1+C255*F256/365)</f>
        <v>111.37427683081224</v>
      </c>
      <c r="F256" s="12">
        <f t="shared" si="17"/>
        <v>1</v>
      </c>
      <c r="G256" s="20">
        <f t="shared" ca="1" si="18"/>
        <v>0.14490590253788277</v>
      </c>
      <c r="H256" s="20">
        <f t="shared" ca="1" si="20"/>
        <v>0.14558571348088675</v>
      </c>
      <c r="I256" s="20">
        <f t="shared" ca="1" si="19"/>
        <v>0.15581839883248891</v>
      </c>
      <c r="J256" s="20">
        <f t="shared" ca="1" si="21"/>
        <v>0.17186172924104562</v>
      </c>
      <c r="K256" s="36">
        <v>15</v>
      </c>
    </row>
    <row r="257" spans="1:11" x14ac:dyDescent="0.25">
      <c r="A257" s="14" t="s">
        <v>6</v>
      </c>
      <c r="B257" s="14">
        <v>44821</v>
      </c>
      <c r="C257" s="15">
        <v>0.142375</v>
      </c>
      <c r="D257" s="16">
        <f t="shared" ca="1" si="16"/>
        <v>111.41772042715137</v>
      </c>
      <c r="E257" s="17">
        <f>+E256*(1+C256*F257/365)</f>
        <v>111.41772042715137</v>
      </c>
      <c r="F257" s="18">
        <f t="shared" si="17"/>
        <v>1</v>
      </c>
      <c r="G257" s="15">
        <f t="shared" ca="1" si="18"/>
        <v>0.14453000973365962</v>
      </c>
      <c r="H257" s="15">
        <f t="shared" ca="1" si="20"/>
        <v>0.1454972016225872</v>
      </c>
      <c r="I257" s="15">
        <f t="shared" ca="1" si="19"/>
        <v>0.15550072230552714</v>
      </c>
      <c r="J257" s="15">
        <f t="shared" ca="1" si="21"/>
        <v>0.17175640450894109</v>
      </c>
      <c r="K257" s="36">
        <v>15</v>
      </c>
    </row>
    <row r="258" spans="1:11" x14ac:dyDescent="0.25">
      <c r="A258" s="14" t="s">
        <v>6</v>
      </c>
      <c r="B258" s="14">
        <v>44822</v>
      </c>
      <c r="C258" s="15">
        <v>0.142375</v>
      </c>
      <c r="D258" s="16">
        <f t="shared" ca="1" si="16"/>
        <v>111.46116402349053</v>
      </c>
      <c r="E258" s="17">
        <f>+E256*(1+C257*F258/365)</f>
        <v>111.46116402349053</v>
      </c>
      <c r="F258" s="18">
        <f t="shared" si="17"/>
        <v>2</v>
      </c>
      <c r="G258" s="15">
        <f t="shared" ca="1" si="18"/>
        <v>0.14415441534691351</v>
      </c>
      <c r="H258" s="15">
        <f t="shared" ca="1" si="20"/>
        <v>0.14540681853670509</v>
      </c>
      <c r="I258" s="15">
        <f t="shared" ca="1" si="19"/>
        <v>0.1551833412835287</v>
      </c>
      <c r="J258" s="15">
        <f t="shared" ca="1" si="21"/>
        <v>0.17165117195470153</v>
      </c>
      <c r="K258" s="36">
        <v>15</v>
      </c>
    </row>
    <row r="259" spans="1:11" x14ac:dyDescent="0.25">
      <c r="A259" s="22" t="s">
        <v>7</v>
      </c>
      <c r="B259" s="8">
        <v>44823</v>
      </c>
      <c r="C259" s="9">
        <v>0.14499999999999999</v>
      </c>
      <c r="D259" s="10">
        <f t="shared" ref="D259:D322" ca="1" si="22">+IF(F259=1,D258*(1+C258*F259/365),OFFSET(D258,-F259+1,0)*(1+C258*F259/365))</f>
        <v>111.50460761982966</v>
      </c>
      <c r="E259" s="11">
        <f>+E256*(1+C258*F259/365)</f>
        <v>111.50460761982966</v>
      </c>
      <c r="F259" s="12">
        <f t="shared" si="17"/>
        <v>3</v>
      </c>
      <c r="G259" s="20">
        <f t="shared" ca="1" si="18"/>
        <v>0.14377911902239551</v>
      </c>
      <c r="H259" s="20">
        <f t="shared" ca="1" si="20"/>
        <v>0.14531456572332596</v>
      </c>
      <c r="I259" s="20">
        <f t="shared" ca="1" si="19"/>
        <v>0.15486352039832818</v>
      </c>
      <c r="J259" s="20">
        <f t="shared" ca="1" si="21"/>
        <v>0.17154603145737035</v>
      </c>
      <c r="K259" s="36">
        <v>15</v>
      </c>
    </row>
    <row r="260" spans="1:11" x14ac:dyDescent="0.25">
      <c r="A260" s="22" t="s">
        <v>7</v>
      </c>
      <c r="B260" s="8">
        <v>44824</v>
      </c>
      <c r="C260" s="9">
        <v>0.141517857142857</v>
      </c>
      <c r="D260" s="10">
        <f t="shared" ca="1" si="22"/>
        <v>111.54890397080192</v>
      </c>
      <c r="E260" s="11">
        <f>+E259*(1+C259*F260/365)</f>
        <v>111.54890397080192</v>
      </c>
      <c r="F260" s="12">
        <f t="shared" si="17"/>
        <v>1</v>
      </c>
      <c r="G260" s="20">
        <f t="shared" ca="1" si="18"/>
        <v>0.14377911902239551</v>
      </c>
      <c r="H260" s="20">
        <f t="shared" ca="1" si="20"/>
        <v>0.14531650720502878</v>
      </c>
      <c r="I260" s="20">
        <f t="shared" ca="1" si="19"/>
        <v>0.15457526978382358</v>
      </c>
      <c r="J260" s="20">
        <f t="shared" ca="1" si="21"/>
        <v>0.1714577953278609</v>
      </c>
      <c r="K260" s="36">
        <v>15</v>
      </c>
    </row>
    <row r="261" spans="1:11" x14ac:dyDescent="0.25">
      <c r="A261" s="22" t="s">
        <v>7</v>
      </c>
      <c r="B261" s="8">
        <v>44825</v>
      </c>
      <c r="C261" s="9">
        <v>0.14215277777777779</v>
      </c>
      <c r="D261" s="10">
        <f t="shared" ca="1" si="22"/>
        <v>111.59215372931311</v>
      </c>
      <c r="E261" s="11">
        <f>+E260*(1+C260*F261/365)</f>
        <v>111.59215372931311</v>
      </c>
      <c r="F261" s="12">
        <f t="shared" si="17"/>
        <v>1</v>
      </c>
      <c r="G261" s="20">
        <f t="shared" ca="1" si="18"/>
        <v>0.14328049645607696</v>
      </c>
      <c r="H261" s="20">
        <f t="shared" ca="1" si="20"/>
        <v>0.14520297746897889</v>
      </c>
      <c r="I261" s="20">
        <f t="shared" ca="1" si="19"/>
        <v>0.15424689245925005</v>
      </c>
      <c r="J261" s="20">
        <f t="shared" ca="1" si="21"/>
        <v>0.17128738103983362</v>
      </c>
      <c r="K261" s="36">
        <v>15</v>
      </c>
    </row>
    <row r="262" spans="1:11" x14ac:dyDescent="0.25">
      <c r="A262" s="22" t="s">
        <v>7</v>
      </c>
      <c r="B262" s="8">
        <v>44826</v>
      </c>
      <c r="C262" s="9">
        <v>0.14228197674418605</v>
      </c>
      <c r="D262" s="10">
        <f t="shared" ca="1" si="22"/>
        <v>111.6356143721373</v>
      </c>
      <c r="E262" s="11">
        <f>+E261*(1+C261*F262/365)</f>
        <v>111.6356143721373</v>
      </c>
      <c r="F262" s="12">
        <f t="shared" si="17"/>
        <v>1</v>
      </c>
      <c r="G262" s="20">
        <f t="shared" ca="1" si="18"/>
        <v>0.14307469577660381</v>
      </c>
      <c r="H262" s="20">
        <f t="shared" ca="1" si="20"/>
        <v>0.14510697552770249</v>
      </c>
      <c r="I262" s="20">
        <f t="shared" ca="1" si="19"/>
        <v>0.15392586032550074</v>
      </c>
      <c r="J262" s="20">
        <f t="shared" ca="1" si="21"/>
        <v>0.17110740342770664</v>
      </c>
      <c r="K262" s="36">
        <v>15</v>
      </c>
    </row>
    <row r="263" spans="1:11" x14ac:dyDescent="0.25">
      <c r="A263" s="22" t="s">
        <v>7</v>
      </c>
      <c r="B263" s="8">
        <v>44827</v>
      </c>
      <c r="C263" s="9">
        <v>0.14000000000000001</v>
      </c>
      <c r="D263" s="10">
        <f t="shared" ca="1" si="22"/>
        <v>111.67913145676174</v>
      </c>
      <c r="E263" s="11">
        <f>+E262*(1+C262*F263/365)</f>
        <v>111.67913145676174</v>
      </c>
      <c r="F263" s="12">
        <f t="shared" ref="F263:F326" si="23">IF(A262="Working day",1,(IF(A261="Working day",2,(IF(A260="Working day",3,IF(A259="Working day",4,IF(A258="Working day",5,6)))))))</f>
        <v>1</v>
      </c>
      <c r="G263" s="20">
        <f t="shared" ca="1" si="18"/>
        <v>0.14272587587142688</v>
      </c>
      <c r="H263" s="20">
        <f t="shared" ca="1" si="20"/>
        <v>0.14501533060012628</v>
      </c>
      <c r="I263" s="20">
        <f t="shared" ca="1" si="19"/>
        <v>0.15360634200860632</v>
      </c>
      <c r="J263" s="20">
        <f t="shared" ca="1" si="21"/>
        <v>0.17092870652731892</v>
      </c>
      <c r="K263" s="36">
        <v>15</v>
      </c>
    </row>
    <row r="264" spans="1:11" x14ac:dyDescent="0.25">
      <c r="A264" s="14" t="s">
        <v>6</v>
      </c>
      <c r="B264" s="14">
        <v>44828</v>
      </c>
      <c r="C264" s="15">
        <v>0.14000000000000001</v>
      </c>
      <c r="D264" s="16">
        <f t="shared" ca="1" si="22"/>
        <v>111.72196728800543</v>
      </c>
      <c r="E264" s="17">
        <f>+E263*(1+C263*F264/365)</f>
        <v>111.72196728800543</v>
      </c>
      <c r="F264" s="18">
        <f t="shared" si="23"/>
        <v>1</v>
      </c>
      <c r="G264" s="15">
        <f t="shared" ca="1" si="18"/>
        <v>0.14238579411655009</v>
      </c>
      <c r="H264" s="15">
        <f t="shared" ca="1" si="20"/>
        <v>0.14484674439468453</v>
      </c>
      <c r="I264" s="15">
        <f t="shared" ca="1" si="19"/>
        <v>0.15326145670585528</v>
      </c>
      <c r="J264" s="15">
        <f t="shared" ca="1" si="21"/>
        <v>0.17073677183648267</v>
      </c>
      <c r="K264" s="36">
        <v>15</v>
      </c>
    </row>
    <row r="265" spans="1:11" x14ac:dyDescent="0.25">
      <c r="A265" s="14" t="s">
        <v>6</v>
      </c>
      <c r="B265" s="14">
        <v>44829</v>
      </c>
      <c r="C265" s="15">
        <v>0.14000000000000001</v>
      </c>
      <c r="D265" s="16">
        <f t="shared" ca="1" si="22"/>
        <v>111.76480311924911</v>
      </c>
      <c r="E265" s="17">
        <f>+E263*(1+C264*F265/365)</f>
        <v>111.76480311924911</v>
      </c>
      <c r="F265" s="18">
        <f t="shared" si="23"/>
        <v>2</v>
      </c>
      <c r="G265" s="15">
        <f t="shared" ref="G265:G328" ca="1" si="24">(D265/OFFSET(D265,-7,0)-1)*365/7</f>
        <v>0.14204597746520403</v>
      </c>
      <c r="H265" s="15">
        <f t="shared" ca="1" si="20"/>
        <v>0.14467635064704695</v>
      </c>
      <c r="I265" s="15">
        <f t="shared" ca="1" si="19"/>
        <v>0.152916892217862</v>
      </c>
      <c r="J265" s="15">
        <f t="shared" ca="1" si="21"/>
        <v>0.17049563433623921</v>
      </c>
      <c r="K265" s="36">
        <v>15</v>
      </c>
    </row>
    <row r="266" spans="1:11" x14ac:dyDescent="0.25">
      <c r="A266" s="22" t="s">
        <v>7</v>
      </c>
      <c r="B266" s="8">
        <v>44830</v>
      </c>
      <c r="C266" s="9">
        <v>0.14000000000000001</v>
      </c>
      <c r="D266" s="10">
        <f t="shared" ca="1" si="22"/>
        <v>111.8076389504928</v>
      </c>
      <c r="E266" s="11">
        <f>+E263*(1+C265*F266/365)</f>
        <v>111.8076389504928</v>
      </c>
      <c r="F266" s="12">
        <f t="shared" si="23"/>
        <v>3</v>
      </c>
      <c r="G266" s="20">
        <f t="shared" ca="1" si="24"/>
        <v>0.14170642560754873</v>
      </c>
      <c r="H266" s="20">
        <f t="shared" ca="1" si="20"/>
        <v>0.1445041508193613</v>
      </c>
      <c r="I266" s="20">
        <f t="shared" ca="1" si="19"/>
        <v>0.1525699146310221</v>
      </c>
      <c r="J266" s="20">
        <f t="shared" ca="1" si="21"/>
        <v>0.17025911941729194</v>
      </c>
      <c r="K266" s="36">
        <v>15</v>
      </c>
    </row>
    <row r="267" spans="1:11" x14ac:dyDescent="0.25">
      <c r="A267" s="22" t="s">
        <v>7</v>
      </c>
      <c r="B267" s="8">
        <v>44831</v>
      </c>
      <c r="C267" s="9">
        <v>0.14000000000000001</v>
      </c>
      <c r="D267" s="10">
        <f t="shared" ca="1" si="22"/>
        <v>111.85052407228204</v>
      </c>
      <c r="E267" s="11">
        <f>+E266*(1+C266*F267/365)</f>
        <v>111.85052407228204</v>
      </c>
      <c r="F267" s="12">
        <f t="shared" si="23"/>
        <v>1</v>
      </c>
      <c r="G267" s="20">
        <f t="shared" ca="1" si="24"/>
        <v>0.14099048312486476</v>
      </c>
      <c r="H267" s="20">
        <f t="shared" ca="1" si="20"/>
        <v>0.14433751294092634</v>
      </c>
      <c r="I267" s="20">
        <f t="shared" ca="1" si="19"/>
        <v>0.15222420232139755</v>
      </c>
      <c r="J267" s="20">
        <f t="shared" ca="1" si="21"/>
        <v>0.17001835739339244</v>
      </c>
      <c r="K267" s="36">
        <v>15</v>
      </c>
    </row>
    <row r="268" spans="1:11" x14ac:dyDescent="0.25">
      <c r="A268" s="22" t="s">
        <v>7</v>
      </c>
      <c r="B268" s="8">
        <v>44832</v>
      </c>
      <c r="C268" s="9">
        <v>0.14000000000000001</v>
      </c>
      <c r="D268" s="10">
        <f t="shared" ca="1" si="22"/>
        <v>111.89342564315909</v>
      </c>
      <c r="E268" s="11">
        <f>+E267*(1+C267*F268/365)</f>
        <v>111.89342564315909</v>
      </c>
      <c r="F268" s="12">
        <f t="shared" si="23"/>
        <v>1</v>
      </c>
      <c r="G268" s="20">
        <f t="shared" ca="1" si="24"/>
        <v>0.14077314434607738</v>
      </c>
      <c r="H268" s="20">
        <f t="shared" ca="1" si="20"/>
        <v>0.1441728170784945</v>
      </c>
      <c r="I268" s="20">
        <f t="shared" ca="1" si="19"/>
        <v>0.15187851841325611</v>
      </c>
      <c r="J268" s="20">
        <f t="shared" ca="1" si="21"/>
        <v>0.16977762174136651</v>
      </c>
      <c r="K268" s="36">
        <v>15</v>
      </c>
    </row>
    <row r="269" spans="1:11" x14ac:dyDescent="0.25">
      <c r="A269" s="22" t="s">
        <v>7</v>
      </c>
      <c r="B269" s="8">
        <v>44833</v>
      </c>
      <c r="C269" s="9">
        <v>0.14000000000000001</v>
      </c>
      <c r="D269" s="10">
        <f t="shared" ca="1" si="22"/>
        <v>111.93634366943319</v>
      </c>
      <c r="E269" s="11">
        <f>+E268*(1+C268*F269/365)</f>
        <v>111.93634366943319</v>
      </c>
      <c r="F269" s="12">
        <f t="shared" si="23"/>
        <v>1</v>
      </c>
      <c r="G269" s="20">
        <f t="shared" ca="1" si="24"/>
        <v>0.14046489443144491</v>
      </c>
      <c r="H269" s="20">
        <f t="shared" ca="1" si="20"/>
        <v>0.1440042424097504</v>
      </c>
      <c r="I269" s="20">
        <f t="shared" ca="1" si="19"/>
        <v>0.15153286290426365</v>
      </c>
      <c r="J269" s="20">
        <f t="shared" ca="1" si="21"/>
        <v>0.16953691245832569</v>
      </c>
      <c r="K269" s="36">
        <v>15</v>
      </c>
    </row>
    <row r="270" spans="1:11" x14ac:dyDescent="0.25">
      <c r="A270" s="22" t="s">
        <v>7</v>
      </c>
      <c r="B270" s="8">
        <v>44834</v>
      </c>
      <c r="C270" s="9">
        <v>0.14000000000000001</v>
      </c>
      <c r="D270" s="10">
        <f t="shared" ca="1" si="22"/>
        <v>111.97927815741599</v>
      </c>
      <c r="E270" s="11">
        <f>+E269*(1+C269*F270/365)</f>
        <v>111.97927815741599</v>
      </c>
      <c r="F270" s="12">
        <f t="shared" si="23"/>
        <v>1</v>
      </c>
      <c r="G270" s="20">
        <f t="shared" ca="1" si="24"/>
        <v>0.1401381469390604</v>
      </c>
      <c r="H270" s="20">
        <f t="shared" ca="1" si="20"/>
        <v>0.14387248585881821</v>
      </c>
      <c r="I270" s="20">
        <f t="shared" ca="1" si="19"/>
        <v>0.15125647739341577</v>
      </c>
      <c r="J270" s="20">
        <f t="shared" ca="1" si="21"/>
        <v>0.16929676333801957</v>
      </c>
      <c r="K270" s="36">
        <v>15</v>
      </c>
    </row>
    <row r="271" spans="1:11" x14ac:dyDescent="0.25">
      <c r="A271" s="23" t="s">
        <v>6</v>
      </c>
      <c r="B271" s="24">
        <v>44835</v>
      </c>
      <c r="C271" s="28">
        <v>0.14000000000000001</v>
      </c>
      <c r="D271" s="25">
        <f t="shared" ca="1" si="22"/>
        <v>112.02222911342159</v>
      </c>
      <c r="E271" s="26">
        <f>+E270*(1+C270*F271/365)</f>
        <v>112.02222911342159</v>
      </c>
      <c r="F271" s="27">
        <f t="shared" si="23"/>
        <v>1</v>
      </c>
      <c r="G271" s="28">
        <f t="shared" ca="1" si="24"/>
        <v>0.14013814693907198</v>
      </c>
      <c r="H271" s="28">
        <f t="shared" ca="1" si="20"/>
        <v>0.14372336810912414</v>
      </c>
      <c r="I271" s="28">
        <f t="shared" ca="1" si="19"/>
        <v>0.15098095840130707</v>
      </c>
      <c r="J271" s="28">
        <f t="shared" ca="1" si="21"/>
        <v>0.16905717367676107</v>
      </c>
      <c r="K271" s="36">
        <v>15</v>
      </c>
    </row>
    <row r="272" spans="1:11" x14ac:dyDescent="0.25">
      <c r="A272" s="23" t="s">
        <v>6</v>
      </c>
      <c r="B272" s="24">
        <v>44836</v>
      </c>
      <c r="C272" s="28">
        <v>0.14000000000000001</v>
      </c>
      <c r="D272" s="25">
        <f t="shared" ca="1" si="22"/>
        <v>112.06518006942714</v>
      </c>
      <c r="E272" s="26">
        <f>+E270*(1+C271*F272/365)</f>
        <v>112.06518006942714</v>
      </c>
      <c r="F272" s="27">
        <f t="shared" si="23"/>
        <v>2</v>
      </c>
      <c r="G272" s="28">
        <f t="shared" ca="1" si="24"/>
        <v>0.1401381469390604</v>
      </c>
      <c r="H272" s="28">
        <f t="shared" ca="1" si="20"/>
        <v>0.14357436827177567</v>
      </c>
      <c r="I272" s="28">
        <f t="shared" ca="1" si="19"/>
        <v>0.150705686649802</v>
      </c>
      <c r="J272" s="28">
        <f t="shared" ca="1" si="21"/>
        <v>0.16881622039384445</v>
      </c>
      <c r="K272" s="36">
        <v>15</v>
      </c>
    </row>
    <row r="273" spans="1:11" x14ac:dyDescent="0.25">
      <c r="A273" s="22" t="s">
        <v>7</v>
      </c>
      <c r="B273" s="29">
        <v>44837</v>
      </c>
      <c r="C273" s="9">
        <v>0.14000000000000001</v>
      </c>
      <c r="D273" s="30">
        <f t="shared" ca="1" si="22"/>
        <v>112.10813102543274</v>
      </c>
      <c r="E273" s="31">
        <f>+E270*(1+C272*F273/365)</f>
        <v>112.10813102543274</v>
      </c>
      <c r="F273" s="32">
        <f t="shared" si="23"/>
        <v>3</v>
      </c>
      <c r="G273" s="20">
        <f t="shared" ca="1" si="24"/>
        <v>0.1401381469390604</v>
      </c>
      <c r="H273" s="20">
        <f t="shared" ca="1" si="20"/>
        <v>0.14342548620697598</v>
      </c>
      <c r="I273" s="20">
        <f t="shared" ca="1" si="19"/>
        <v>0.15046486621962923</v>
      </c>
      <c r="J273" s="20">
        <f t="shared" ca="1" si="21"/>
        <v>0.16854942936758346</v>
      </c>
      <c r="K273" s="36">
        <v>15</v>
      </c>
    </row>
    <row r="274" spans="1:11" x14ac:dyDescent="0.25">
      <c r="A274" s="13" t="s">
        <v>7</v>
      </c>
      <c r="B274" s="29">
        <v>44838</v>
      </c>
      <c r="C274" s="9">
        <v>0.14000000000000001</v>
      </c>
      <c r="D274" s="30">
        <f t="shared" ca="1" si="22"/>
        <v>112.15113140445621</v>
      </c>
      <c r="E274" s="31">
        <f>+E273*(1+C273*F274/365)</f>
        <v>112.15113140445621</v>
      </c>
      <c r="F274" s="32">
        <f t="shared" si="23"/>
        <v>1</v>
      </c>
      <c r="G274" s="20">
        <f t="shared" ca="1" si="24"/>
        <v>0.1401381469390604</v>
      </c>
      <c r="H274" s="20">
        <f t="shared" ca="1" si="20"/>
        <v>0.14328214655162522</v>
      </c>
      <c r="I274" s="20">
        <f t="shared" ca="1" si="19"/>
        <v>0.15015436494441006</v>
      </c>
      <c r="J274" s="20">
        <f t="shared" ca="1" si="21"/>
        <v>0.16829777350710989</v>
      </c>
      <c r="K274" s="36">
        <v>15</v>
      </c>
    </row>
    <row r="275" spans="1:11" x14ac:dyDescent="0.25">
      <c r="A275" s="13" t="s">
        <v>7</v>
      </c>
      <c r="B275" s="29">
        <v>44839</v>
      </c>
      <c r="C275" s="9">
        <v>0.14000000000000001</v>
      </c>
      <c r="D275" s="30">
        <f t="shared" ca="1" si="22"/>
        <v>112.19414827677573</v>
      </c>
      <c r="E275" s="31">
        <f>+E274*(1+C274*F275/365)</f>
        <v>112.19414827677573</v>
      </c>
      <c r="F275" s="32">
        <f t="shared" si="23"/>
        <v>1</v>
      </c>
      <c r="G275" s="20">
        <f t="shared" ca="1" si="24"/>
        <v>0.1401381469390604</v>
      </c>
      <c r="H275" s="20">
        <f t="shared" ca="1" si="20"/>
        <v>0.14314072973008179</v>
      </c>
      <c r="I275" s="20">
        <f t="shared" ca="1" si="19"/>
        <v>0.14987392671544267</v>
      </c>
      <c r="J275" s="20">
        <f t="shared" ca="1" si="21"/>
        <v>0.16805722631928136</v>
      </c>
      <c r="K275" s="36">
        <v>15</v>
      </c>
    </row>
    <row r="276" spans="1:11" x14ac:dyDescent="0.25">
      <c r="A276" s="13" t="s">
        <v>7</v>
      </c>
      <c r="B276" s="29">
        <v>44840</v>
      </c>
      <c r="C276" s="9">
        <v>0.14000000000000001</v>
      </c>
      <c r="D276" s="30">
        <f t="shared" ca="1" si="22"/>
        <v>112.23718164871752</v>
      </c>
      <c r="E276" s="31">
        <f>+E275*(1+C275*F276/365)</f>
        <v>112.23718164871752</v>
      </c>
      <c r="F276" s="32">
        <f t="shared" si="23"/>
        <v>1</v>
      </c>
      <c r="G276" s="20">
        <f t="shared" ca="1" si="24"/>
        <v>0.14013814693907198</v>
      </c>
      <c r="H276" s="20">
        <f t="shared" ca="1" si="20"/>
        <v>0.14297216919390449</v>
      </c>
      <c r="I276" s="20">
        <f t="shared" ca="1" si="19"/>
        <v>0.1496435931913844</v>
      </c>
      <c r="J276" s="20">
        <f t="shared" ca="1" si="21"/>
        <v>0.16781670547979413</v>
      </c>
      <c r="K276" s="36">
        <v>15</v>
      </c>
    </row>
    <row r="277" spans="1:11" x14ac:dyDescent="0.25">
      <c r="A277" s="13" t="s">
        <v>7</v>
      </c>
      <c r="B277" s="29">
        <v>44841</v>
      </c>
      <c r="C277" s="9">
        <v>0.14000000000000001</v>
      </c>
      <c r="D277" s="30">
        <f t="shared" ca="1" si="22"/>
        <v>112.28023152661019</v>
      </c>
      <c r="E277" s="31">
        <f>+E276*(1+C276*F277/365)</f>
        <v>112.28023152661019</v>
      </c>
      <c r="F277" s="32">
        <f t="shared" si="23"/>
        <v>1</v>
      </c>
      <c r="G277" s="20">
        <f t="shared" ca="1" si="24"/>
        <v>0.14013814693907198</v>
      </c>
      <c r="H277" s="20">
        <f t="shared" ca="1" si="20"/>
        <v>0.14281486376936556</v>
      </c>
      <c r="I277" s="20">
        <f t="shared" ca="1" si="19"/>
        <v>0.14941327228281098</v>
      </c>
      <c r="J277" s="20">
        <f t="shared" ca="1" si="21"/>
        <v>0.16757674436450823</v>
      </c>
      <c r="K277" s="36">
        <v>15</v>
      </c>
    </row>
    <row r="278" spans="1:11" x14ac:dyDescent="0.25">
      <c r="A278" s="23" t="s">
        <v>6</v>
      </c>
      <c r="B278" s="24">
        <v>44842</v>
      </c>
      <c r="C278" s="28">
        <v>0.14000000000000001</v>
      </c>
      <c r="D278" s="25">
        <f t="shared" ca="1" si="22"/>
        <v>112.3232979167848</v>
      </c>
      <c r="E278" s="26">
        <f>+E277*(1+C277*F278/365)</f>
        <v>112.3232979167848</v>
      </c>
      <c r="F278" s="27">
        <f t="shared" si="23"/>
        <v>1</v>
      </c>
      <c r="G278" s="28">
        <f t="shared" ca="1" si="24"/>
        <v>0.14013814693907198</v>
      </c>
      <c r="H278" s="28">
        <f t="shared" ca="1" si="20"/>
        <v>0.14265981088944937</v>
      </c>
      <c r="I278" s="28">
        <f t="shared" ca="1" si="19"/>
        <v>0.14918377124756516</v>
      </c>
      <c r="J278" s="28">
        <f t="shared" ca="1" si="21"/>
        <v>0.16733734227028729</v>
      </c>
      <c r="K278" s="36">
        <v>15</v>
      </c>
    </row>
    <row r="279" spans="1:11" x14ac:dyDescent="0.25">
      <c r="A279" s="23" t="s">
        <v>6</v>
      </c>
      <c r="B279" s="24">
        <v>44843</v>
      </c>
      <c r="C279" s="28">
        <v>0.14000000000000001</v>
      </c>
      <c r="D279" s="25">
        <f t="shared" ca="1" si="22"/>
        <v>112.36636430695937</v>
      </c>
      <c r="E279" s="26">
        <f>+E277*(1+C278*F279/365)</f>
        <v>112.36636430695937</v>
      </c>
      <c r="F279" s="27">
        <f t="shared" si="23"/>
        <v>2</v>
      </c>
      <c r="G279" s="28">
        <f t="shared" ca="1" si="24"/>
        <v>0.14013814693907198</v>
      </c>
      <c r="H279" s="28">
        <f t="shared" ca="1" si="20"/>
        <v>0.14248944740939634</v>
      </c>
      <c r="I279" s="28">
        <f t="shared" ca="1" si="19"/>
        <v>0.14895447115445434</v>
      </c>
      <c r="J279" s="28">
        <f t="shared" ca="1" si="21"/>
        <v>0.16709657762194399</v>
      </c>
      <c r="K279" s="36">
        <v>15</v>
      </c>
    </row>
    <row r="280" spans="1:11" x14ac:dyDescent="0.25">
      <c r="A280" s="13" t="s">
        <v>7</v>
      </c>
      <c r="B280" s="29">
        <v>44844</v>
      </c>
      <c r="C280" s="9">
        <v>0.14000000000000001</v>
      </c>
      <c r="D280" s="30">
        <f t="shared" ca="1" si="22"/>
        <v>112.40943069713396</v>
      </c>
      <c r="E280" s="31">
        <f>+E277*(1+C279*F280/365)</f>
        <v>112.40943069713396</v>
      </c>
      <c r="F280" s="32">
        <f t="shared" si="23"/>
        <v>3</v>
      </c>
      <c r="G280" s="20">
        <f t="shared" ca="1" si="24"/>
        <v>0.14013814693907198</v>
      </c>
      <c r="H280" s="20">
        <f t="shared" ca="1" si="20"/>
        <v>0.14231727817011694</v>
      </c>
      <c r="I280" s="20">
        <f t="shared" ca="1" si="19"/>
        <v>0.14872537173968731</v>
      </c>
      <c r="J280" s="20">
        <f t="shared" ca="1" si="21"/>
        <v>0.16685551700247403</v>
      </c>
      <c r="K280" s="36">
        <v>15</v>
      </c>
    </row>
    <row r="281" spans="1:11" x14ac:dyDescent="0.25">
      <c r="A281" s="13" t="s">
        <v>7</v>
      </c>
      <c r="B281" s="29">
        <v>44845</v>
      </c>
      <c r="C281" s="9">
        <v>0.14000000000000001</v>
      </c>
      <c r="D281" s="30">
        <f t="shared" ca="1" si="22"/>
        <v>112.45254664315478</v>
      </c>
      <c r="E281" s="31">
        <f>+E280*(1+C280*F281/365)</f>
        <v>112.45254664315478</v>
      </c>
      <c r="F281" s="32">
        <f t="shared" si="23"/>
        <v>1</v>
      </c>
      <c r="G281" s="20">
        <f t="shared" ca="1" si="24"/>
        <v>0.1401381469390604</v>
      </c>
      <c r="H281" s="20">
        <f t="shared" ca="1" si="20"/>
        <v>0.14215066989209621</v>
      </c>
      <c r="I281" s="20">
        <f t="shared" ca="1" si="19"/>
        <v>0.1484983253920448</v>
      </c>
      <c r="J281" s="20">
        <f t="shared" ca="1" si="21"/>
        <v>0.1666151277922456</v>
      </c>
      <c r="K281" s="36">
        <v>15</v>
      </c>
    </row>
    <row r="282" spans="1:11" x14ac:dyDescent="0.25">
      <c r="A282" s="13" t="s">
        <v>7</v>
      </c>
      <c r="B282" s="29">
        <v>44846</v>
      </c>
      <c r="C282" s="9">
        <v>0.14000000000000001</v>
      </c>
      <c r="D282" s="30">
        <f t="shared" ca="1" si="22"/>
        <v>112.49567912679873</v>
      </c>
      <c r="E282" s="31">
        <f>+E281*(1+C281*F282/365)</f>
        <v>112.49567912679873</v>
      </c>
      <c r="F282" s="32">
        <f t="shared" si="23"/>
        <v>1</v>
      </c>
      <c r="G282" s="20">
        <f t="shared" ca="1" si="24"/>
        <v>0.1401381469390604</v>
      </c>
      <c r="H282" s="20">
        <f t="shared" ca="1" si="20"/>
        <v>0.14198600328512137</v>
      </c>
      <c r="I282" s="20">
        <f t="shared" ca="1" si="19"/>
        <v>0.14826806721037505</v>
      </c>
      <c r="J282" s="20">
        <f t="shared" ca="1" si="21"/>
        <v>0.16637476491305511</v>
      </c>
      <c r="K282" s="36">
        <v>15</v>
      </c>
    </row>
    <row r="283" spans="1:11" x14ac:dyDescent="0.25">
      <c r="A283" s="13" t="s">
        <v>7</v>
      </c>
      <c r="B283" s="29">
        <v>44847</v>
      </c>
      <c r="C283" s="9">
        <v>0.14000000000000001</v>
      </c>
      <c r="D283" s="30">
        <f t="shared" ca="1" si="22"/>
        <v>112.53882815440902</v>
      </c>
      <c r="E283" s="31">
        <f>+E282*(1+C282*F283/365)</f>
        <v>112.53882815440902</v>
      </c>
      <c r="F283" s="32">
        <f t="shared" si="23"/>
        <v>1</v>
      </c>
      <c r="G283" s="20">
        <f t="shared" ca="1" si="24"/>
        <v>0.1401381469390604</v>
      </c>
      <c r="H283" s="20">
        <f t="shared" ca="1" si="20"/>
        <v>0.14181745856083572</v>
      </c>
      <c r="I283" s="20">
        <f t="shared" ca="1" si="19"/>
        <v>0.14803782164006224</v>
      </c>
      <c r="J283" s="20">
        <f t="shared" ca="1" si="21"/>
        <v>0.16613442836201864</v>
      </c>
      <c r="K283" s="36">
        <v>15</v>
      </c>
    </row>
    <row r="284" spans="1:11" x14ac:dyDescent="0.25">
      <c r="A284" s="13" t="s">
        <v>7</v>
      </c>
      <c r="B284" s="29">
        <v>44848</v>
      </c>
      <c r="C284" s="9">
        <v>0.14000000000000001</v>
      </c>
      <c r="D284" s="30">
        <f t="shared" ca="1" si="22"/>
        <v>112.58199373233127</v>
      </c>
      <c r="E284" s="31">
        <f>+E283*(1+C283*F284/365)</f>
        <v>112.58199373233127</v>
      </c>
      <c r="F284" s="32">
        <f t="shared" si="23"/>
        <v>1</v>
      </c>
      <c r="G284" s="20">
        <f t="shared" ca="1" si="24"/>
        <v>0.1401381469390604</v>
      </c>
      <c r="H284" s="20">
        <f t="shared" ca="1" si="20"/>
        <v>0.14164891614446445</v>
      </c>
      <c r="I284" s="20">
        <f t="shared" ref="I284:I347" ca="1" si="25">($D284/OFFSET($D284,-90,0)-1)*365/90</f>
        <v>0.14780758868041832</v>
      </c>
      <c r="J284" s="20">
        <f t="shared" ca="1" si="21"/>
        <v>0.16589465110631857</v>
      </c>
      <c r="K284" s="36">
        <v>15</v>
      </c>
    </row>
    <row r="285" spans="1:11" x14ac:dyDescent="0.25">
      <c r="A285" s="23" t="s">
        <v>6</v>
      </c>
      <c r="B285" s="24">
        <v>44849</v>
      </c>
      <c r="C285" s="28">
        <v>0.14000000000000001</v>
      </c>
      <c r="D285" s="25">
        <f t="shared" ca="1" si="22"/>
        <v>112.62517586691354</v>
      </c>
      <c r="E285" s="26">
        <f>+E284*(1+C284*F285/365)</f>
        <v>112.62517586691354</v>
      </c>
      <c r="F285" s="27">
        <f t="shared" si="23"/>
        <v>1</v>
      </c>
      <c r="G285" s="28">
        <f t="shared" ca="1" si="24"/>
        <v>0.14013814693904883</v>
      </c>
      <c r="H285" s="28">
        <f t="shared" ca="1" si="20"/>
        <v>0.14152790387928338</v>
      </c>
      <c r="I285" s="28">
        <f t="shared" ca="1" si="25"/>
        <v>0.14757736833075083</v>
      </c>
      <c r="J285" s="28">
        <f t="shared" ca="1" si="21"/>
        <v>0.16565543244335881</v>
      </c>
      <c r="K285" s="36">
        <v>15</v>
      </c>
    </row>
    <row r="286" spans="1:11" x14ac:dyDescent="0.25">
      <c r="A286" s="23" t="s">
        <v>6</v>
      </c>
      <c r="B286" s="24">
        <v>44850</v>
      </c>
      <c r="C286" s="28">
        <v>0.14000000000000001</v>
      </c>
      <c r="D286" s="25">
        <f t="shared" ca="1" si="22"/>
        <v>112.66835800149579</v>
      </c>
      <c r="E286" s="26">
        <f>+E284*(1+C285*F286/365)</f>
        <v>112.66835800149579</v>
      </c>
      <c r="F286" s="27">
        <f t="shared" si="23"/>
        <v>2</v>
      </c>
      <c r="G286" s="28">
        <f t="shared" ca="1" si="24"/>
        <v>0.1401381469390604</v>
      </c>
      <c r="H286" s="28">
        <f t="shared" ca="1" si="20"/>
        <v>0.14136706150949266</v>
      </c>
      <c r="I286" s="28">
        <f t="shared" ca="1" si="25"/>
        <v>0.14734734964130375</v>
      </c>
      <c r="J286" s="28">
        <f t="shared" ca="1" si="21"/>
        <v>0.16541485227027347</v>
      </c>
      <c r="K286" s="36">
        <v>15</v>
      </c>
    </row>
    <row r="287" spans="1:11" x14ac:dyDescent="0.25">
      <c r="A287" s="13" t="s">
        <v>7</v>
      </c>
      <c r="B287" s="29">
        <v>44851</v>
      </c>
      <c r="C287" s="20">
        <v>0.14000000000000001</v>
      </c>
      <c r="D287" s="30">
        <f t="shared" ca="1" si="22"/>
        <v>112.71154013607806</v>
      </c>
      <c r="E287" s="31">
        <f>+E284*(1+C286*F287/365)</f>
        <v>112.71154013607806</v>
      </c>
      <c r="F287" s="32">
        <f t="shared" si="23"/>
        <v>3</v>
      </c>
      <c r="G287" s="20">
        <f t="shared" ca="1" si="24"/>
        <v>0.1401381469390604</v>
      </c>
      <c r="H287" s="20">
        <f t="shared" ca="1" si="20"/>
        <v>0.14128338889833081</v>
      </c>
      <c r="I287" s="20">
        <f t="shared" ca="1" si="25"/>
        <v>0.1471159193303104</v>
      </c>
      <c r="J287" s="20">
        <f t="shared" ca="1" si="21"/>
        <v>0.16517397635283659</v>
      </c>
      <c r="K287" s="36">
        <v>15</v>
      </c>
    </row>
    <row r="288" spans="1:11" x14ac:dyDescent="0.25">
      <c r="A288" s="13" t="s">
        <v>7</v>
      </c>
      <c r="B288" s="29">
        <v>44852</v>
      </c>
      <c r="C288" s="20">
        <v>0.14000000000000001</v>
      </c>
      <c r="D288" s="30">
        <f t="shared" ca="1" si="22"/>
        <v>112.75477195969191</v>
      </c>
      <c r="E288" s="31">
        <f>+E287*(1+C287*F288/365)</f>
        <v>112.75477195969191</v>
      </c>
      <c r="F288" s="32">
        <f t="shared" si="23"/>
        <v>1</v>
      </c>
      <c r="G288" s="20">
        <f t="shared" ca="1" si="24"/>
        <v>0.1401381469390604</v>
      </c>
      <c r="H288" s="20">
        <f t="shared" ref="H288:H351" ca="1" si="26">($D288/OFFSET($D288,-30,0)-1)*365/30</f>
        <v>0.14120520537359527</v>
      </c>
      <c r="I288" s="20">
        <f t="shared" ca="1" si="25"/>
        <v>0.14688573686372772</v>
      </c>
      <c r="J288" s="20">
        <f t="shared" ca="1" si="21"/>
        <v>0.16493377133020318</v>
      </c>
      <c r="K288" s="36">
        <v>15</v>
      </c>
    </row>
    <row r="289" spans="1:11" x14ac:dyDescent="0.25">
      <c r="A289" s="13" t="s">
        <v>7</v>
      </c>
      <c r="B289" s="29">
        <v>44853</v>
      </c>
      <c r="C289" s="20">
        <v>0.14000000000000001</v>
      </c>
      <c r="D289" s="30">
        <f t="shared" ca="1" si="22"/>
        <v>112.79802036537508</v>
      </c>
      <c r="E289" s="31">
        <f>+E288*(1+C288*F289/365)</f>
        <v>112.79802036537508</v>
      </c>
      <c r="F289" s="32">
        <f t="shared" si="23"/>
        <v>1</v>
      </c>
      <c r="G289" s="20">
        <f t="shared" ca="1" si="24"/>
        <v>0.1401381469390604</v>
      </c>
      <c r="H289" s="20">
        <f t="shared" ca="1" si="26"/>
        <v>0.14112889210033713</v>
      </c>
      <c r="I289" s="20">
        <f t="shared" ca="1" si="25"/>
        <v>0.1466705430433583</v>
      </c>
      <c r="J289" s="20">
        <f t="shared" ca="1" si="21"/>
        <v>0.16469359261843297</v>
      </c>
      <c r="K289" s="36">
        <v>15</v>
      </c>
    </row>
    <row r="290" spans="1:11" x14ac:dyDescent="0.25">
      <c r="A290" s="13" t="s">
        <v>7</v>
      </c>
      <c r="B290" s="29">
        <v>44854</v>
      </c>
      <c r="C290" s="20">
        <v>0.14000000000000001</v>
      </c>
      <c r="D290" s="30">
        <f t="shared" ca="1" si="22"/>
        <v>112.84128535948784</v>
      </c>
      <c r="E290" s="31">
        <f>+E289*(1+C289*F290/365)</f>
        <v>112.84128535948784</v>
      </c>
      <c r="F290" s="32">
        <f t="shared" si="23"/>
        <v>1</v>
      </c>
      <c r="G290" s="20">
        <f t="shared" ca="1" si="24"/>
        <v>0.14013814693907198</v>
      </c>
      <c r="H290" s="20">
        <f t="shared" ca="1" si="26"/>
        <v>0.14096035911263893</v>
      </c>
      <c r="I290" s="20">
        <f t="shared" ca="1" si="25"/>
        <v>0.14644038497026265</v>
      </c>
      <c r="J290" s="20">
        <f t="shared" ca="1" si="21"/>
        <v>0.16445344021464348</v>
      </c>
      <c r="K290" s="36">
        <v>15</v>
      </c>
    </row>
    <row r="291" spans="1:11" x14ac:dyDescent="0.25">
      <c r="A291" s="13" t="s">
        <v>7</v>
      </c>
      <c r="B291" s="29">
        <v>44855</v>
      </c>
      <c r="C291" s="20">
        <v>0.14000000000000001</v>
      </c>
      <c r="D291" s="30">
        <f t="shared" ca="1" si="22"/>
        <v>112.88456694839286</v>
      </c>
      <c r="E291" s="31">
        <f>+E290*(1+C290*F291/365)</f>
        <v>112.88456694839286</v>
      </c>
      <c r="F291" s="32">
        <f t="shared" si="23"/>
        <v>1</v>
      </c>
      <c r="G291" s="20">
        <f t="shared" ca="1" si="24"/>
        <v>0.1401381469390604</v>
      </c>
      <c r="H291" s="20">
        <f t="shared" ca="1" si="26"/>
        <v>0.14090919752547545</v>
      </c>
      <c r="I291" s="20">
        <f t="shared" ca="1" si="25"/>
        <v>0.14632530908526967</v>
      </c>
      <c r="J291" s="20">
        <f t="shared" ca="1" si="21"/>
        <v>0.16421384667765593</v>
      </c>
      <c r="K291" s="36">
        <v>15</v>
      </c>
    </row>
    <row r="292" spans="1:11" x14ac:dyDescent="0.25">
      <c r="A292" s="23" t="s">
        <v>6</v>
      </c>
      <c r="B292" s="24">
        <v>44856</v>
      </c>
      <c r="C292" s="28">
        <v>0.14000000000000001</v>
      </c>
      <c r="D292" s="25">
        <f t="shared" ca="1" si="22"/>
        <v>112.92786513845526</v>
      </c>
      <c r="E292" s="26">
        <f>+E291*(1+C291*F292/365)</f>
        <v>112.92786513845526</v>
      </c>
      <c r="F292" s="27">
        <f t="shared" si="23"/>
        <v>1</v>
      </c>
      <c r="G292" s="28">
        <f t="shared" ca="1" si="24"/>
        <v>0.1401381469390604</v>
      </c>
      <c r="H292" s="28">
        <f t="shared" ca="1" si="26"/>
        <v>0.14083663544077035</v>
      </c>
      <c r="I292" s="28">
        <f t="shared" ca="1" si="25"/>
        <v>0.14621094539351917</v>
      </c>
      <c r="J292" s="28">
        <f t="shared" ca="1" si="21"/>
        <v>0.16397481130541142</v>
      </c>
      <c r="K292" s="36">
        <v>15</v>
      </c>
    </row>
    <row r="293" spans="1:11" x14ac:dyDescent="0.25">
      <c r="A293" s="23" t="s">
        <v>6</v>
      </c>
      <c r="B293" s="24">
        <v>44857</v>
      </c>
      <c r="C293" s="28">
        <v>0.14000000000000001</v>
      </c>
      <c r="D293" s="25">
        <f t="shared" ca="1" si="22"/>
        <v>112.97116332851765</v>
      </c>
      <c r="E293" s="26">
        <f>+E291*(1+C292*F293/365)</f>
        <v>112.97116332851765</v>
      </c>
      <c r="F293" s="27">
        <f t="shared" si="23"/>
        <v>2</v>
      </c>
      <c r="G293" s="28">
        <f t="shared" ca="1" si="24"/>
        <v>0.1401381469390604</v>
      </c>
      <c r="H293" s="28">
        <f t="shared" ca="1" si="26"/>
        <v>0.14075790974833768</v>
      </c>
      <c r="I293" s="28">
        <f t="shared" ca="1" si="25"/>
        <v>0.1460966755835777</v>
      </c>
      <c r="J293" s="28">
        <f t="shared" ca="1" si="21"/>
        <v>0.16373441546623749</v>
      </c>
      <c r="K293" s="36">
        <v>15</v>
      </c>
    </row>
    <row r="294" spans="1:11" x14ac:dyDescent="0.25">
      <c r="A294" s="13" t="s">
        <v>7</v>
      </c>
      <c r="B294" s="29">
        <v>44858</v>
      </c>
      <c r="C294" s="20">
        <v>0.14000000000000001</v>
      </c>
      <c r="D294" s="30">
        <f t="shared" ca="1" si="22"/>
        <v>113.01446151858005</v>
      </c>
      <c r="E294" s="31">
        <f>+E291*(1+C293*F294/365)</f>
        <v>113.01446151858005</v>
      </c>
      <c r="F294" s="32">
        <f t="shared" si="23"/>
        <v>3</v>
      </c>
      <c r="G294" s="20">
        <f t="shared" ca="1" si="24"/>
        <v>0.14013814693907198</v>
      </c>
      <c r="H294" s="20">
        <f t="shared" ca="1" si="26"/>
        <v>0.1407542925864623</v>
      </c>
      <c r="I294" s="20">
        <f t="shared" ca="1" si="25"/>
        <v>0.14598037427629582</v>
      </c>
      <c r="J294" s="20">
        <f t="shared" ca="1" si="21"/>
        <v>0.16349372410931384</v>
      </c>
      <c r="K294" s="36">
        <v>15</v>
      </c>
    </row>
    <row r="295" spans="1:11" x14ac:dyDescent="0.25">
      <c r="A295" s="13" t="s">
        <v>7</v>
      </c>
      <c r="B295" s="29">
        <v>44859</v>
      </c>
      <c r="C295" s="20">
        <v>0.14000000000000001</v>
      </c>
      <c r="D295" s="30">
        <f t="shared" ca="1" si="22"/>
        <v>113.05780953121732</v>
      </c>
      <c r="E295" s="31">
        <f>+E294*(1+C294*F295/365)</f>
        <v>113.05780953121732</v>
      </c>
      <c r="F295" s="32">
        <f t="shared" si="23"/>
        <v>1</v>
      </c>
      <c r="G295" s="20">
        <f t="shared" ca="1" si="24"/>
        <v>0.1401381469390604</v>
      </c>
      <c r="H295" s="20">
        <f t="shared" ca="1" si="26"/>
        <v>0.14075610186057125</v>
      </c>
      <c r="I295" s="20">
        <f t="shared" ca="1" si="25"/>
        <v>0.14586531098915834</v>
      </c>
      <c r="J295" s="20">
        <f t="shared" ca="1" si="21"/>
        <v>0.16325370313314996</v>
      </c>
      <c r="K295" s="36">
        <v>15</v>
      </c>
    </row>
    <row r="296" spans="1:11" x14ac:dyDescent="0.25">
      <c r="A296" s="13" t="s">
        <v>7</v>
      </c>
      <c r="B296" s="29">
        <v>44860</v>
      </c>
      <c r="C296" s="20">
        <v>0.14000000000000001</v>
      </c>
      <c r="D296" s="30">
        <f t="shared" ca="1" si="22"/>
        <v>113.10117417048957</v>
      </c>
      <c r="E296" s="31">
        <f>+E295*(1+C295*F296/365)</f>
        <v>113.10117417048957</v>
      </c>
      <c r="F296" s="32">
        <f t="shared" si="23"/>
        <v>1</v>
      </c>
      <c r="G296" s="20">
        <f t="shared" ca="1" si="24"/>
        <v>0.1401381469390604</v>
      </c>
      <c r="H296" s="20">
        <f t="shared" ca="1" si="26"/>
        <v>0.14075971902297887</v>
      </c>
      <c r="I296" s="20">
        <f t="shared" ca="1" si="25"/>
        <v>0.1457502508531435</v>
      </c>
      <c r="J296" s="20">
        <f t="shared" ca="1" si="21"/>
        <v>0.1630137084476895</v>
      </c>
      <c r="K296" s="36">
        <v>15</v>
      </c>
    </row>
    <row r="297" spans="1:11" x14ac:dyDescent="0.25">
      <c r="A297" s="13" t="s">
        <v>7</v>
      </c>
      <c r="B297" s="29">
        <v>44861</v>
      </c>
      <c r="C297" s="20">
        <v>0.14000000000000001</v>
      </c>
      <c r="D297" s="30">
        <f t="shared" ca="1" si="22"/>
        <v>113.14455544277415</v>
      </c>
      <c r="E297" s="31">
        <f>+E296*(1+C296*F297/365)</f>
        <v>113.14455544277415</v>
      </c>
      <c r="F297" s="32">
        <f t="shared" si="23"/>
        <v>1</v>
      </c>
      <c r="G297" s="20">
        <f t="shared" ca="1" si="24"/>
        <v>0.1401381469390604</v>
      </c>
      <c r="H297" s="20">
        <f t="shared" ca="1" si="26"/>
        <v>0.14075971902297887</v>
      </c>
      <c r="I297" s="20">
        <f t="shared" ca="1" si="25"/>
        <v>0.14563519386816753</v>
      </c>
      <c r="J297" s="20">
        <f t="shared" ca="1" si="21"/>
        <v>0.16277092823202916</v>
      </c>
      <c r="K297" s="36">
        <v>15</v>
      </c>
    </row>
    <row r="298" spans="1:11" x14ac:dyDescent="0.25">
      <c r="A298" s="13" t="s">
        <v>7</v>
      </c>
      <c r="B298" s="29">
        <v>44862</v>
      </c>
      <c r="C298" s="20">
        <v>0.14000000000000001</v>
      </c>
      <c r="D298" s="30">
        <f t="shared" ca="1" si="22"/>
        <v>113.18795335445084</v>
      </c>
      <c r="E298" s="31">
        <f>+E297*(1+C297*F298/365)</f>
        <v>113.18795335445084</v>
      </c>
      <c r="F298" s="32">
        <f t="shared" si="23"/>
        <v>1</v>
      </c>
      <c r="G298" s="20">
        <f t="shared" ca="1" si="24"/>
        <v>0.1401381469390604</v>
      </c>
      <c r="H298" s="20">
        <f t="shared" ca="1" si="26"/>
        <v>0.14075971902297887</v>
      </c>
      <c r="I298" s="20">
        <f t="shared" ca="1" si="25"/>
        <v>0.14552014003414218</v>
      </c>
      <c r="J298" s="20">
        <f t="shared" ca="1" si="21"/>
        <v>0.16247100918906382</v>
      </c>
      <c r="K298" s="36">
        <v>15</v>
      </c>
    </row>
    <row r="299" spans="1:11" x14ac:dyDescent="0.25">
      <c r="A299" s="23" t="s">
        <v>6</v>
      </c>
      <c r="B299" s="24">
        <v>44863</v>
      </c>
      <c r="C299" s="28">
        <v>0.14000000000000001</v>
      </c>
      <c r="D299" s="25">
        <f t="shared" ca="1" si="22"/>
        <v>113.23136791190187</v>
      </c>
      <c r="E299" s="26">
        <f>+E298*(1+C298*F299/365)</f>
        <v>113.23136791190187</v>
      </c>
      <c r="F299" s="27">
        <f t="shared" si="23"/>
        <v>1</v>
      </c>
      <c r="G299" s="28">
        <f t="shared" ca="1" si="24"/>
        <v>0.1401381469390604</v>
      </c>
      <c r="H299" s="28">
        <f t="shared" ca="1" si="26"/>
        <v>0.14075971902297887</v>
      </c>
      <c r="I299" s="28">
        <f t="shared" ca="1" si="25"/>
        <v>0.14540579825688907</v>
      </c>
      <c r="J299" s="28">
        <f t="shared" ca="1" si="21"/>
        <v>0.16217172400318206</v>
      </c>
      <c r="K299" s="36">
        <v>15</v>
      </c>
    </row>
    <row r="300" spans="1:11" x14ac:dyDescent="0.25">
      <c r="A300" s="23" t="s">
        <v>6</v>
      </c>
      <c r="B300" s="24">
        <v>44864</v>
      </c>
      <c r="C300" s="28">
        <v>0.14000000000000001</v>
      </c>
      <c r="D300" s="25">
        <f t="shared" ca="1" si="22"/>
        <v>113.27478246935287</v>
      </c>
      <c r="E300" s="26">
        <f>+E298*(1+C299*F300/365)</f>
        <v>113.27478246935287</v>
      </c>
      <c r="F300" s="27">
        <f t="shared" si="23"/>
        <v>2</v>
      </c>
      <c r="G300" s="28">
        <f t="shared" ca="1" si="24"/>
        <v>0.1401381469390604</v>
      </c>
      <c r="H300" s="28">
        <f t="shared" ca="1" si="26"/>
        <v>0.14075790974833499</v>
      </c>
      <c r="I300" s="28">
        <f t="shared" ca="1" si="25"/>
        <v>0.14529155034345359</v>
      </c>
      <c r="J300" s="28">
        <f t="shared" ca="1" si="21"/>
        <v>0.16187274991605116</v>
      </c>
      <c r="K300" s="36">
        <v>15</v>
      </c>
    </row>
    <row r="301" spans="1:11" x14ac:dyDescent="0.25">
      <c r="A301" s="13" t="s">
        <v>7</v>
      </c>
      <c r="B301" s="29">
        <v>44865</v>
      </c>
      <c r="C301" s="20">
        <v>0.14000000000000001</v>
      </c>
      <c r="D301" s="30">
        <f t="shared" ca="1" si="22"/>
        <v>113.3181970268039</v>
      </c>
      <c r="E301" s="31">
        <f>+E298*(1+C300*F301/365)</f>
        <v>113.3181970268039</v>
      </c>
      <c r="F301" s="32">
        <f t="shared" si="23"/>
        <v>3</v>
      </c>
      <c r="G301" s="20">
        <f t="shared" ca="1" si="24"/>
        <v>0.1401381469390604</v>
      </c>
      <c r="H301" s="20">
        <f t="shared" ca="1" si="26"/>
        <v>0.1407542925864623</v>
      </c>
      <c r="I301" s="20">
        <f t="shared" ca="1" si="25"/>
        <v>0.14517527132195743</v>
      </c>
      <c r="J301" s="20">
        <f t="shared" ca="1" si="21"/>
        <v>0.16157408644285723</v>
      </c>
      <c r="K301" s="36">
        <v>15</v>
      </c>
    </row>
    <row r="302" spans="1:11" x14ac:dyDescent="0.25">
      <c r="A302" s="13" t="s">
        <v>7</v>
      </c>
      <c r="B302" s="29">
        <v>44866</v>
      </c>
      <c r="C302" s="20">
        <v>0.14000000000000001</v>
      </c>
      <c r="D302" s="30">
        <f t="shared" ca="1" si="22"/>
        <v>113.361661540732</v>
      </c>
      <c r="E302" s="31">
        <f>+E301*(1+C301*F302/365)</f>
        <v>113.361661540732</v>
      </c>
      <c r="F302" s="32">
        <f t="shared" si="23"/>
        <v>1</v>
      </c>
      <c r="G302" s="20">
        <f t="shared" ca="1" si="24"/>
        <v>0.1401381469390604</v>
      </c>
      <c r="H302" s="20">
        <f t="shared" ca="1" si="26"/>
        <v>0.14075610186057397</v>
      </c>
      <c r="I302" s="20">
        <f t="shared" ca="1" si="25"/>
        <v>0.14506023008337421</v>
      </c>
      <c r="J302" s="20">
        <f t="shared" ca="1" si="21"/>
        <v>0.16127669777733727</v>
      </c>
      <c r="K302" s="36">
        <v>15</v>
      </c>
    </row>
    <row r="303" spans="1:11" x14ac:dyDescent="0.25">
      <c r="A303" s="13" t="s">
        <v>7</v>
      </c>
      <c r="B303" s="29">
        <v>44867</v>
      </c>
      <c r="C303" s="20">
        <v>0.14000000000000001</v>
      </c>
      <c r="D303" s="30">
        <f t="shared" ca="1" si="22"/>
        <v>113.40514272598051</v>
      </c>
      <c r="E303" s="31">
        <f>+E302*(1+C302*F303/365)</f>
        <v>113.40514272598051</v>
      </c>
      <c r="F303" s="32">
        <f t="shared" si="23"/>
        <v>1</v>
      </c>
      <c r="G303" s="20">
        <f t="shared" ca="1" si="24"/>
        <v>0.1401381469390604</v>
      </c>
      <c r="H303" s="20">
        <f t="shared" ca="1" si="26"/>
        <v>0.14075971902297887</v>
      </c>
      <c r="I303" s="20">
        <f t="shared" ca="1" si="25"/>
        <v>0.14499401316215405</v>
      </c>
      <c r="J303" s="20">
        <f t="shared" ca="1" si="21"/>
        <v>0.16103474447719196</v>
      </c>
      <c r="K303" s="36">
        <v>15</v>
      </c>
    </row>
    <row r="304" spans="1:11" x14ac:dyDescent="0.25">
      <c r="A304" s="13" t="s">
        <v>7</v>
      </c>
      <c r="B304" s="29">
        <v>44868</v>
      </c>
      <c r="C304" s="20">
        <v>0.14000000000000001</v>
      </c>
      <c r="D304" s="30">
        <f t="shared" ca="1" si="22"/>
        <v>113.4486405889439</v>
      </c>
      <c r="E304" s="31">
        <f>+E303*(1+C303*F304/365)</f>
        <v>113.4486405889439</v>
      </c>
      <c r="F304" s="32">
        <f t="shared" si="23"/>
        <v>1</v>
      </c>
      <c r="G304" s="20">
        <f t="shared" ca="1" si="24"/>
        <v>0.1401381469390604</v>
      </c>
      <c r="H304" s="20">
        <f t="shared" ca="1" si="26"/>
        <v>0.14075971902297618</v>
      </c>
      <c r="I304" s="20">
        <f t="shared" ca="1" si="25"/>
        <v>0.1449364942372241</v>
      </c>
      <c r="J304" s="20">
        <f t="shared" ca="1" si="21"/>
        <v>0.16079499284542081</v>
      </c>
      <c r="K304" s="36">
        <v>15</v>
      </c>
    </row>
    <row r="305" spans="1:11" x14ac:dyDescent="0.25">
      <c r="A305" s="13" t="s">
        <v>7</v>
      </c>
      <c r="B305" s="29">
        <v>44869</v>
      </c>
      <c r="C305" s="20">
        <v>0.14000000000000001</v>
      </c>
      <c r="D305" s="30">
        <f t="shared" ca="1" si="22"/>
        <v>113.49215513601912</v>
      </c>
      <c r="E305" s="31">
        <f>+E304*(1+C304*F305/365)</f>
        <v>113.49215513601912</v>
      </c>
      <c r="F305" s="32">
        <f t="shared" si="23"/>
        <v>1</v>
      </c>
      <c r="G305" s="20">
        <f t="shared" ca="1" si="24"/>
        <v>0.1401381469390604</v>
      </c>
      <c r="H305" s="20">
        <f t="shared" ca="1" si="26"/>
        <v>0.14075971902297618</v>
      </c>
      <c r="I305" s="20">
        <f t="shared" ca="1" si="25"/>
        <v>0.14487897609991179</v>
      </c>
      <c r="J305" s="20">
        <f t="shared" ca="1" si="21"/>
        <v>0.16055526747484999</v>
      </c>
      <c r="K305" s="36">
        <v>15</v>
      </c>
    </row>
    <row r="306" spans="1:11" x14ac:dyDescent="0.25">
      <c r="A306" s="23" t="s">
        <v>6</v>
      </c>
      <c r="B306" s="24">
        <v>44870</v>
      </c>
      <c r="C306" s="28">
        <v>0.14000000000000001</v>
      </c>
      <c r="D306" s="25">
        <f t="shared" ca="1" si="22"/>
        <v>113.53568637360554</v>
      </c>
      <c r="E306" s="26">
        <f>+E305*(1+C305*F306/365)</f>
        <v>113.53568637360554</v>
      </c>
      <c r="F306" s="27">
        <f t="shared" si="23"/>
        <v>1</v>
      </c>
      <c r="G306" s="28">
        <f t="shared" ca="1" si="24"/>
        <v>0.1401381469390604</v>
      </c>
      <c r="H306" s="28">
        <f t="shared" ca="1" si="26"/>
        <v>0.14075971902297618</v>
      </c>
      <c r="I306" s="28">
        <f t="shared" ca="1" si="25"/>
        <v>0.14482212110949283</v>
      </c>
      <c r="J306" s="28">
        <f t="shared" ca="1" si="21"/>
        <v>0.16031609997731777</v>
      </c>
      <c r="K306" s="36">
        <v>15</v>
      </c>
    </row>
    <row r="307" spans="1:11" x14ac:dyDescent="0.25">
      <c r="A307" s="23" t="s">
        <v>6</v>
      </c>
      <c r="B307" s="24">
        <v>44871</v>
      </c>
      <c r="C307" s="28">
        <v>0.14000000000000001</v>
      </c>
      <c r="D307" s="25">
        <f t="shared" ca="1" si="22"/>
        <v>113.57921761119195</v>
      </c>
      <c r="E307" s="26">
        <f>+E305*(1+C306*F307/365)</f>
        <v>113.57921761119195</v>
      </c>
      <c r="F307" s="27">
        <f t="shared" si="23"/>
        <v>2</v>
      </c>
      <c r="G307" s="28">
        <f t="shared" ca="1" si="24"/>
        <v>0.1401381469390604</v>
      </c>
      <c r="H307" s="28">
        <f t="shared" ca="1" si="26"/>
        <v>0.14075790974833499</v>
      </c>
      <c r="I307" s="28">
        <f t="shared" ca="1" si="25"/>
        <v>0.14476531123776087</v>
      </c>
      <c r="J307" s="28">
        <f t="shared" ca="1" si="21"/>
        <v>0.16007716802254138</v>
      </c>
      <c r="K307" s="36">
        <v>15</v>
      </c>
    </row>
    <row r="308" spans="1:11" x14ac:dyDescent="0.25">
      <c r="A308" s="13" t="s">
        <v>7</v>
      </c>
      <c r="B308" s="29">
        <v>44872</v>
      </c>
      <c r="C308" s="20">
        <v>0.14000000000000001</v>
      </c>
      <c r="D308" s="30">
        <f t="shared" ca="1" si="22"/>
        <v>113.62274884877837</v>
      </c>
      <c r="E308" s="31">
        <f>+E305*(1+C307*F308/365)</f>
        <v>113.62274884877837</v>
      </c>
      <c r="F308" s="32">
        <f t="shared" si="23"/>
        <v>3</v>
      </c>
      <c r="G308" s="20">
        <f t="shared" ca="1" si="24"/>
        <v>0.1401381469390604</v>
      </c>
      <c r="H308" s="20">
        <f t="shared" ca="1" si="26"/>
        <v>0.14075429258645961</v>
      </c>
      <c r="I308" s="20">
        <f t="shared" ca="1" si="25"/>
        <v>0.14470656098374948</v>
      </c>
      <c r="J308" s="20">
        <f t="shared" ca="1" si="21"/>
        <v>0.15983687833705301</v>
      </c>
      <c r="K308" s="36">
        <v>15</v>
      </c>
    </row>
    <row r="309" spans="1:11" x14ac:dyDescent="0.25">
      <c r="A309" s="13" t="s">
        <v>7</v>
      </c>
      <c r="B309" s="29">
        <v>44873</v>
      </c>
      <c r="C309" s="20">
        <v>0.14000000000000001</v>
      </c>
      <c r="D309" s="30">
        <f t="shared" ca="1" si="22"/>
        <v>113.66633017710394</v>
      </c>
      <c r="E309" s="31">
        <f>+E308*(1+C308*F309/365)</f>
        <v>113.66633017710394</v>
      </c>
      <c r="F309" s="32">
        <f t="shared" si="23"/>
        <v>1</v>
      </c>
      <c r="G309" s="20">
        <f t="shared" ca="1" si="24"/>
        <v>0.1401381469390604</v>
      </c>
      <c r="H309" s="20">
        <f t="shared" ca="1" si="26"/>
        <v>0.14075610186057125</v>
      </c>
      <c r="I309" s="20">
        <f t="shared" ca="1" si="25"/>
        <v>0.14464904599495731</v>
      </c>
      <c r="J309" s="20">
        <f t="shared" ca="1" si="21"/>
        <v>0.15959725791357823</v>
      </c>
      <c r="K309" s="36">
        <v>15</v>
      </c>
    </row>
    <row r="310" spans="1:11" x14ac:dyDescent="0.25">
      <c r="A310" s="13" t="s">
        <v>7</v>
      </c>
      <c r="B310" s="29">
        <v>44874</v>
      </c>
      <c r="C310" s="20">
        <v>0.14000000000000001</v>
      </c>
      <c r="D310" s="30">
        <f t="shared" ca="1" si="22"/>
        <v>113.70992822155544</v>
      </c>
      <c r="E310" s="31">
        <f>+E309*(1+C309*F310/365)</f>
        <v>113.70992822155544</v>
      </c>
      <c r="F310" s="32">
        <f t="shared" si="23"/>
        <v>1</v>
      </c>
      <c r="G310" s="20">
        <f t="shared" ca="1" si="24"/>
        <v>0.1401381469390604</v>
      </c>
      <c r="H310" s="20">
        <f t="shared" ca="1" si="26"/>
        <v>0.14075971902297618</v>
      </c>
      <c r="I310" s="20">
        <f t="shared" ca="1" si="25"/>
        <v>0.14459153179372877</v>
      </c>
      <c r="J310" s="20">
        <f t="shared" ref="J310:J373" ca="1" si="27">($D310/OFFSET($D310,-180,0)-1)*365/180</f>
        <v>0.15935766373693247</v>
      </c>
      <c r="K310" s="36">
        <v>15</v>
      </c>
    </row>
    <row r="311" spans="1:11" x14ac:dyDescent="0.25">
      <c r="A311" s="13" t="s">
        <v>7</v>
      </c>
      <c r="B311" s="29">
        <v>44875</v>
      </c>
      <c r="C311" s="20">
        <v>0.14000000000000001</v>
      </c>
      <c r="D311" s="30">
        <f t="shared" ca="1" si="22"/>
        <v>113.75354298854454</v>
      </c>
      <c r="E311" s="31">
        <f>+E310*(1+C310*F311/365)</f>
        <v>113.75354298854454</v>
      </c>
      <c r="F311" s="32">
        <f t="shared" si="23"/>
        <v>1</v>
      </c>
      <c r="G311" s="20">
        <f t="shared" ca="1" si="24"/>
        <v>0.1401381469390604</v>
      </c>
      <c r="H311" s="20">
        <f t="shared" ca="1" si="26"/>
        <v>0.14075971902297887</v>
      </c>
      <c r="I311" s="20">
        <f t="shared" ca="1" si="25"/>
        <v>0.14453401838005306</v>
      </c>
      <c r="J311" s="20">
        <f t="shared" ca="1" si="27"/>
        <v>0.15911809580423994</v>
      </c>
      <c r="K311" s="36">
        <v>15</v>
      </c>
    </row>
    <row r="312" spans="1:11" x14ac:dyDescent="0.25">
      <c r="A312" s="13" t="s">
        <v>7</v>
      </c>
      <c r="B312" s="29">
        <v>44876</v>
      </c>
      <c r="C312" s="20">
        <v>0.14000000000000001</v>
      </c>
      <c r="D312" s="30">
        <f t="shared" ca="1" si="22"/>
        <v>113.79717448448535</v>
      </c>
      <c r="E312" s="31">
        <f>+E311*(1+C311*F312/365)</f>
        <v>113.79717448448535</v>
      </c>
      <c r="F312" s="32">
        <f t="shared" si="23"/>
        <v>1</v>
      </c>
      <c r="G312" s="20">
        <f t="shared" ca="1" si="24"/>
        <v>0.1401381469390604</v>
      </c>
      <c r="H312" s="20">
        <f t="shared" ca="1" si="26"/>
        <v>0.14075971902297618</v>
      </c>
      <c r="I312" s="20">
        <f t="shared" ca="1" si="25"/>
        <v>0.14447650575391938</v>
      </c>
      <c r="J312" s="20">
        <f t="shared" ca="1" si="27"/>
        <v>0.1588790853782068</v>
      </c>
      <c r="K312" s="36">
        <v>15</v>
      </c>
    </row>
    <row r="313" spans="1:11" x14ac:dyDescent="0.25">
      <c r="A313" s="23" t="s">
        <v>6</v>
      </c>
      <c r="B313" s="24">
        <v>44877</v>
      </c>
      <c r="C313" s="28">
        <v>0.14000000000000001</v>
      </c>
      <c r="D313" s="25">
        <f t="shared" ca="1" si="22"/>
        <v>113.84082271579447</v>
      </c>
      <c r="E313" s="26">
        <f>+E312*(1+C312*F313/365)</f>
        <v>113.84082271579447</v>
      </c>
      <c r="F313" s="27">
        <f t="shared" si="23"/>
        <v>1</v>
      </c>
      <c r="G313" s="28">
        <f t="shared" ca="1" si="24"/>
        <v>0.1401381469390604</v>
      </c>
      <c r="H313" s="28">
        <f t="shared" ca="1" si="26"/>
        <v>0.14075971902297618</v>
      </c>
      <c r="I313" s="28">
        <f t="shared" ca="1" si="25"/>
        <v>0.14441965621113875</v>
      </c>
      <c r="J313" s="28">
        <f t="shared" ca="1" si="27"/>
        <v>0.15864063175848286</v>
      </c>
      <c r="K313" s="36">
        <v>15</v>
      </c>
    </row>
    <row r="314" spans="1:11" x14ac:dyDescent="0.25">
      <c r="A314" s="23" t="s">
        <v>6</v>
      </c>
      <c r="B314" s="24">
        <v>44878</v>
      </c>
      <c r="C314" s="28">
        <v>0.14000000000000001</v>
      </c>
      <c r="D314" s="25">
        <f t="shared" ca="1" si="22"/>
        <v>113.88447094710358</v>
      </c>
      <c r="E314" s="26">
        <f>+E312*(1+C313*F314/365)</f>
        <v>113.88447094710358</v>
      </c>
      <c r="F314" s="27">
        <f t="shared" si="23"/>
        <v>2</v>
      </c>
      <c r="G314" s="28">
        <f t="shared" ca="1" si="24"/>
        <v>0.1401381469390604</v>
      </c>
      <c r="H314" s="28">
        <f t="shared" ca="1" si="26"/>
        <v>0.14075790974833499</v>
      </c>
      <c r="I314" s="28">
        <f t="shared" ca="1" si="25"/>
        <v>0.14436285178272174</v>
      </c>
      <c r="J314" s="28">
        <f t="shared" ca="1" si="27"/>
        <v>0.15840082098286729</v>
      </c>
      <c r="K314" s="36">
        <v>15</v>
      </c>
    </row>
    <row r="315" spans="1:11" x14ac:dyDescent="0.25">
      <c r="A315" s="13" t="s">
        <v>7</v>
      </c>
      <c r="B315" s="29">
        <v>44879</v>
      </c>
      <c r="C315" s="20">
        <v>0.14000000000000001</v>
      </c>
      <c r="D315" s="30">
        <f t="shared" ca="1" si="22"/>
        <v>113.9281191784127</v>
      </c>
      <c r="E315" s="31">
        <f>+E312*(1+C314*F315/365)</f>
        <v>113.9281191784127</v>
      </c>
      <c r="F315" s="32">
        <f t="shared" si="23"/>
        <v>3</v>
      </c>
      <c r="G315" s="20">
        <f t="shared" ca="1" si="24"/>
        <v>0.1401381469390604</v>
      </c>
      <c r="H315" s="20">
        <f t="shared" ca="1" si="26"/>
        <v>0.14075429258645961</v>
      </c>
      <c r="I315" s="20">
        <f t="shared" ca="1" si="25"/>
        <v>0.14430410715794548</v>
      </c>
      <c r="J315" s="20">
        <f t="shared" ca="1" si="27"/>
        <v>0.15816071540871793</v>
      </c>
      <c r="K315" s="36">
        <v>15</v>
      </c>
    </row>
    <row r="316" spans="1:11" x14ac:dyDescent="0.25">
      <c r="A316" s="13" t="s">
        <v>7</v>
      </c>
      <c r="B316" s="29">
        <v>44880</v>
      </c>
      <c r="C316" s="20">
        <v>0.14000000000000001</v>
      </c>
      <c r="D316" s="30">
        <f t="shared" ca="1" si="22"/>
        <v>113.97181763508388</v>
      </c>
      <c r="E316" s="31">
        <f>+E315*(1+C315*F316/365)</f>
        <v>113.97181763508388</v>
      </c>
      <c r="F316" s="32">
        <f t="shared" si="23"/>
        <v>1</v>
      </c>
      <c r="G316" s="20">
        <f t="shared" ca="1" si="24"/>
        <v>0.1401381469390604</v>
      </c>
      <c r="H316" s="20">
        <f t="shared" ca="1" si="26"/>
        <v>0.14075610186057125</v>
      </c>
      <c r="I316" s="20">
        <f t="shared" ca="1" si="25"/>
        <v>0.14424659768003023</v>
      </c>
      <c r="J316" s="20">
        <f t="shared" ca="1" si="27"/>
        <v>0.15793656713925663</v>
      </c>
      <c r="K316" s="36">
        <v>15</v>
      </c>
    </row>
    <row r="317" spans="1:11" x14ac:dyDescent="0.25">
      <c r="A317" s="13" t="s">
        <v>7</v>
      </c>
      <c r="B317" s="29">
        <v>44881</v>
      </c>
      <c r="C317" s="20">
        <v>0.14000000000000001</v>
      </c>
      <c r="D317" s="30">
        <f t="shared" ca="1" si="22"/>
        <v>114.01553285280693</v>
      </c>
      <c r="E317" s="31">
        <f>+E316*(1+C316*F317/365)</f>
        <v>114.01553285280693</v>
      </c>
      <c r="F317" s="32">
        <f t="shared" si="23"/>
        <v>1</v>
      </c>
      <c r="G317" s="20">
        <f t="shared" ca="1" si="24"/>
        <v>0.14013814693904883</v>
      </c>
      <c r="H317" s="20">
        <f t="shared" ca="1" si="26"/>
        <v>0.14075971902297618</v>
      </c>
      <c r="I317" s="20">
        <f t="shared" ca="1" si="25"/>
        <v>0.144189088989603</v>
      </c>
      <c r="J317" s="20">
        <f t="shared" ca="1" si="27"/>
        <v>0.15769715486641397</v>
      </c>
      <c r="K317" s="36">
        <v>15</v>
      </c>
    </row>
    <row r="318" spans="1:11" x14ac:dyDescent="0.25">
      <c r="A318" s="13" t="s">
        <v>7</v>
      </c>
      <c r="B318" s="29">
        <v>44882</v>
      </c>
      <c r="C318" s="20">
        <v>0.14000000000000001</v>
      </c>
      <c r="D318" s="30">
        <f t="shared" ca="1" si="22"/>
        <v>114.05926483801075</v>
      </c>
      <c r="E318" s="31">
        <f>+E317*(1+C317*F318/365)</f>
        <v>114.05926483801075</v>
      </c>
      <c r="F318" s="32">
        <f t="shared" si="23"/>
        <v>1</v>
      </c>
      <c r="G318" s="20">
        <f t="shared" ca="1" si="24"/>
        <v>0.14013814693904883</v>
      </c>
      <c r="H318" s="20">
        <f t="shared" ca="1" si="26"/>
        <v>0.14075971902297618</v>
      </c>
      <c r="I318" s="20">
        <f t="shared" ca="1" si="25"/>
        <v>0.14413158108665294</v>
      </c>
      <c r="J318" s="20">
        <f t="shared" ca="1" si="27"/>
        <v>0.15748805951268971</v>
      </c>
      <c r="K318" s="36">
        <v>15</v>
      </c>
    </row>
    <row r="319" spans="1:11" x14ac:dyDescent="0.25">
      <c r="A319" s="13" t="s">
        <v>7</v>
      </c>
      <c r="B319" s="29">
        <v>44883</v>
      </c>
      <c r="C319" s="20">
        <v>0.14000000000000001</v>
      </c>
      <c r="D319" s="30">
        <f t="shared" ca="1" si="22"/>
        <v>114.1030135971267</v>
      </c>
      <c r="E319" s="31">
        <f>+E318*(1+C318*F319/365)</f>
        <v>114.1030135971267</v>
      </c>
      <c r="F319" s="32">
        <f t="shared" si="23"/>
        <v>1</v>
      </c>
      <c r="G319" s="20">
        <f t="shared" ca="1" si="24"/>
        <v>0.1401381469390604</v>
      </c>
      <c r="H319" s="20">
        <f t="shared" ca="1" si="26"/>
        <v>0.14075971902297618</v>
      </c>
      <c r="I319" s="20">
        <f t="shared" ca="1" si="25"/>
        <v>0.14407407397116928</v>
      </c>
      <c r="J319" s="20">
        <f t="shared" ca="1" si="27"/>
        <v>0.15727948561666508</v>
      </c>
      <c r="K319" s="36">
        <v>15</v>
      </c>
    </row>
    <row r="320" spans="1:11" x14ac:dyDescent="0.25">
      <c r="A320" s="23" t="s">
        <v>6</v>
      </c>
      <c r="B320" s="24">
        <v>44884</v>
      </c>
      <c r="C320" s="28">
        <v>0.14000000000000001</v>
      </c>
      <c r="D320" s="25">
        <f t="shared" ca="1" si="22"/>
        <v>114.14677913658862</v>
      </c>
      <c r="E320" s="26">
        <f>+E319*(1+C319*F320/365)</f>
        <v>114.14677913658862</v>
      </c>
      <c r="F320" s="27">
        <f t="shared" si="23"/>
        <v>1</v>
      </c>
      <c r="G320" s="28">
        <f t="shared" ca="1" si="24"/>
        <v>0.1401381469390604</v>
      </c>
      <c r="H320" s="28">
        <f t="shared" ca="1" si="26"/>
        <v>0.14075971902297343</v>
      </c>
      <c r="I320" s="28">
        <f t="shared" ca="1" si="25"/>
        <v>0.14401722987550558</v>
      </c>
      <c r="J320" s="28">
        <f t="shared" ca="1" si="27"/>
        <v>0.15707143255278663</v>
      </c>
      <c r="K320" s="36">
        <v>15</v>
      </c>
    </row>
    <row r="321" spans="1:11" x14ac:dyDescent="0.25">
      <c r="A321" s="23" t="s">
        <v>6</v>
      </c>
      <c r="B321" s="24">
        <v>44885</v>
      </c>
      <c r="C321" s="28">
        <v>0.14000000000000001</v>
      </c>
      <c r="D321" s="25">
        <f t="shared" ca="1" si="22"/>
        <v>114.19054467605052</v>
      </c>
      <c r="E321" s="26">
        <f>+E319*(1+C320*F321/365)</f>
        <v>114.19054467605052</v>
      </c>
      <c r="F321" s="27">
        <f t="shared" si="23"/>
        <v>2</v>
      </c>
      <c r="G321" s="28">
        <f t="shared" ca="1" si="24"/>
        <v>0.1401381469390604</v>
      </c>
      <c r="H321" s="28">
        <f t="shared" ca="1" si="26"/>
        <v>0.1407579097483323</v>
      </c>
      <c r="I321" s="28">
        <f t="shared" ca="1" si="25"/>
        <v>0.14396043088988122</v>
      </c>
      <c r="J321" s="28">
        <f t="shared" ca="1" si="27"/>
        <v>0.15684484005334381</v>
      </c>
      <c r="K321" s="36">
        <v>15</v>
      </c>
    </row>
    <row r="322" spans="1:11" x14ac:dyDescent="0.25">
      <c r="A322" s="13" t="s">
        <v>7</v>
      </c>
      <c r="B322" s="29">
        <v>44886</v>
      </c>
      <c r="C322" s="20">
        <v>0.14000000000000001</v>
      </c>
      <c r="D322" s="30">
        <f t="shared" ca="1" si="22"/>
        <v>114.23431021551244</v>
      </c>
      <c r="E322" s="31">
        <f>+E319*(1+C321*F322/365)</f>
        <v>114.23431021551244</v>
      </c>
      <c r="F322" s="32">
        <f t="shared" si="23"/>
        <v>3</v>
      </c>
      <c r="G322" s="20">
        <f t="shared" ca="1" si="24"/>
        <v>0.1401381469390604</v>
      </c>
      <c r="H322" s="20">
        <f t="shared" ca="1" si="26"/>
        <v>0.14075429258645961</v>
      </c>
      <c r="I322" s="20">
        <f t="shared" ca="1" si="25"/>
        <v>0.14390169189380159</v>
      </c>
      <c r="J322" s="20">
        <f t="shared" ca="1" si="27"/>
        <v>0.15664120240362558</v>
      </c>
      <c r="K322" s="36">
        <v>15</v>
      </c>
    </row>
    <row r="323" spans="1:11" x14ac:dyDescent="0.25">
      <c r="A323" s="13" t="s">
        <v>7</v>
      </c>
      <c r="B323" s="29">
        <v>44887</v>
      </c>
      <c r="C323" s="20">
        <v>0.14000000000000001</v>
      </c>
      <c r="D323" s="30">
        <f t="shared" ref="D323:D386" ca="1" si="28">+IF(F323=1,D322*(1+C322*F323/365),OFFSET(D322,-F323+1,0)*(1+C322*F323/365))</f>
        <v>114.27812611532113</v>
      </c>
      <c r="E323" s="31">
        <f>+E322*(1+C322*F323/365)</f>
        <v>114.27812611532113</v>
      </c>
      <c r="F323" s="32">
        <f t="shared" si="23"/>
        <v>1</v>
      </c>
      <c r="G323" s="20">
        <f t="shared" ca="1" si="24"/>
        <v>0.1401381469390604</v>
      </c>
      <c r="H323" s="20">
        <f t="shared" ca="1" si="26"/>
        <v>0.14075610186056856</v>
      </c>
      <c r="I323" s="20">
        <f t="shared" ca="1" si="25"/>
        <v>0.14384418792623468</v>
      </c>
      <c r="J323" s="20">
        <f t="shared" ca="1" si="27"/>
        <v>0.15644406607857778</v>
      </c>
      <c r="K323" s="36">
        <v>15</v>
      </c>
    </row>
    <row r="324" spans="1:11" x14ac:dyDescent="0.25">
      <c r="A324" s="13" t="s">
        <v>7</v>
      </c>
      <c r="B324" s="29">
        <v>44888</v>
      </c>
      <c r="C324" s="20">
        <v>0.14000000000000001</v>
      </c>
      <c r="D324" s="30">
        <f t="shared" ca="1" si="28"/>
        <v>114.32195882122838</v>
      </c>
      <c r="E324" s="31">
        <f>+E323*(1+C323*F324/365)</f>
        <v>114.32195882122838</v>
      </c>
      <c r="F324" s="32">
        <f t="shared" si="23"/>
        <v>1</v>
      </c>
      <c r="G324" s="20">
        <f t="shared" ca="1" si="24"/>
        <v>0.1401381469390604</v>
      </c>
      <c r="H324" s="20">
        <f t="shared" ca="1" si="26"/>
        <v>0.14075971902297343</v>
      </c>
      <c r="I324" s="20">
        <f t="shared" ca="1" si="25"/>
        <v>0.14378668474608106</v>
      </c>
      <c r="J324" s="20">
        <f t="shared" ca="1" si="27"/>
        <v>0.156264624571018</v>
      </c>
      <c r="K324" s="36">
        <v>15</v>
      </c>
    </row>
    <row r="325" spans="1:11" x14ac:dyDescent="0.25">
      <c r="A325" s="13" t="s">
        <v>7</v>
      </c>
      <c r="B325" s="29">
        <v>44889</v>
      </c>
      <c r="C325" s="20">
        <v>0.14000000000000001</v>
      </c>
      <c r="D325" s="30">
        <f t="shared" ca="1" si="28"/>
        <v>114.36580833968037</v>
      </c>
      <c r="E325" s="31">
        <f>+E324*(1+C324*F325/365)</f>
        <v>114.36580833968037</v>
      </c>
      <c r="F325" s="32">
        <f t="shared" si="23"/>
        <v>1</v>
      </c>
      <c r="G325" s="20">
        <f t="shared" ca="1" si="24"/>
        <v>0.1401381469390604</v>
      </c>
      <c r="H325" s="20">
        <f t="shared" ca="1" si="26"/>
        <v>0.14075971902297618</v>
      </c>
      <c r="I325" s="20">
        <f t="shared" ca="1" si="25"/>
        <v>0.14372918235332985</v>
      </c>
      <c r="J325" s="20">
        <f t="shared" ca="1" si="27"/>
        <v>0.15608519780520938</v>
      </c>
      <c r="K325" s="36">
        <v>15</v>
      </c>
    </row>
    <row r="326" spans="1:11" x14ac:dyDescent="0.25">
      <c r="A326" s="13" t="s">
        <v>7</v>
      </c>
      <c r="B326" s="29">
        <v>44890</v>
      </c>
      <c r="C326" s="20">
        <v>0.14000000000000001</v>
      </c>
      <c r="D326" s="30">
        <f t="shared" ca="1" si="28"/>
        <v>114.40967467712574</v>
      </c>
      <c r="E326" s="31">
        <f>+E325*(1+C325*F326/365)</f>
        <v>114.40967467712574</v>
      </c>
      <c r="F326" s="32">
        <f t="shared" si="23"/>
        <v>1</v>
      </c>
      <c r="G326" s="20">
        <f t="shared" ca="1" si="24"/>
        <v>0.1401381469390604</v>
      </c>
      <c r="H326" s="20">
        <f t="shared" ca="1" si="26"/>
        <v>0.14075971902297618</v>
      </c>
      <c r="I326" s="20">
        <f t="shared" ca="1" si="25"/>
        <v>0.1436716807479694</v>
      </c>
      <c r="J326" s="20">
        <f t="shared" ca="1" si="27"/>
        <v>0.15590625903739008</v>
      </c>
      <c r="K326" s="36">
        <v>15</v>
      </c>
    </row>
    <row r="327" spans="1:11" x14ac:dyDescent="0.25">
      <c r="A327" s="23" t="s">
        <v>6</v>
      </c>
      <c r="B327" s="24">
        <v>44891</v>
      </c>
      <c r="C327" s="28">
        <v>0.14000000000000001</v>
      </c>
      <c r="D327" s="25">
        <f t="shared" ca="1" si="28"/>
        <v>114.45355784001561</v>
      </c>
      <c r="E327" s="26">
        <f>+E326*(1+C326*F327/365)</f>
        <v>114.45355784001561</v>
      </c>
      <c r="F327" s="27">
        <f t="shared" ref="F327:F390" si="29">IF(A326="Working day",1,(IF(A325="Working day",2,(IF(A324="Working day",3,IF(A323="Working day",4,IF(A322="Working day",5,6)))))))</f>
        <v>1</v>
      </c>
      <c r="G327" s="28">
        <f t="shared" ca="1" si="24"/>
        <v>0.1401381469390604</v>
      </c>
      <c r="H327" s="28">
        <f t="shared" ca="1" si="26"/>
        <v>0.14075971902297618</v>
      </c>
      <c r="I327" s="28">
        <f t="shared" ca="1" si="25"/>
        <v>0.14361484209889944</v>
      </c>
      <c r="J327" s="28">
        <f t="shared" ca="1" si="27"/>
        <v>0.15572780770972403</v>
      </c>
      <c r="K327" s="36">
        <v>15</v>
      </c>
    </row>
    <row r="328" spans="1:11" x14ac:dyDescent="0.25">
      <c r="A328" s="23" t="s">
        <v>6</v>
      </c>
      <c r="B328" s="24">
        <v>44892</v>
      </c>
      <c r="C328" s="28">
        <v>0.14000000000000001</v>
      </c>
      <c r="D328" s="25">
        <f t="shared" ca="1" si="28"/>
        <v>114.49744100290543</v>
      </c>
      <c r="E328" s="26">
        <f>+E326*(1+C327*F328/365)</f>
        <v>114.49744100290543</v>
      </c>
      <c r="F328" s="27">
        <f t="shared" si="29"/>
        <v>2</v>
      </c>
      <c r="G328" s="28">
        <f t="shared" ca="1" si="24"/>
        <v>0.1401381469390604</v>
      </c>
      <c r="H328" s="28">
        <f t="shared" ca="1" si="26"/>
        <v>0.1407579097483323</v>
      </c>
      <c r="I328" s="28">
        <f t="shared" ca="1" si="25"/>
        <v>0.14355804855554721</v>
      </c>
      <c r="J328" s="28">
        <f t="shared" ca="1" si="27"/>
        <v>0.15550831854425848</v>
      </c>
      <c r="K328" s="36">
        <v>15</v>
      </c>
    </row>
    <row r="329" spans="1:11" x14ac:dyDescent="0.25">
      <c r="A329" s="13" t="s">
        <v>7</v>
      </c>
      <c r="B329" s="29">
        <v>44893</v>
      </c>
      <c r="C329" s="20">
        <v>0.14000000000000001</v>
      </c>
      <c r="D329" s="30">
        <f t="shared" ca="1" si="28"/>
        <v>114.5413241657953</v>
      </c>
      <c r="E329" s="31">
        <f>+E326*(1+C328*F329/365)</f>
        <v>114.5413241657953</v>
      </c>
      <c r="F329" s="32">
        <f t="shared" si="29"/>
        <v>3</v>
      </c>
      <c r="G329" s="20">
        <f t="shared" ref="G329:G392" ca="1" si="30">(D329/OFFSET(D329,-7,0)-1)*365/7</f>
        <v>0.1401381469390604</v>
      </c>
      <c r="H329" s="20">
        <f t="shared" ca="1" si="26"/>
        <v>0.14075429258645961</v>
      </c>
      <c r="I329" s="20">
        <f t="shared" ca="1" si="25"/>
        <v>0.1434993151876239</v>
      </c>
      <c r="J329" s="20">
        <f t="shared" ca="1" si="27"/>
        <v>0.15526853065044882</v>
      </c>
      <c r="K329" s="36">
        <v>15</v>
      </c>
    </row>
    <row r="330" spans="1:11" x14ac:dyDescent="0.25">
      <c r="A330" s="13" t="s">
        <v>7</v>
      </c>
      <c r="B330" s="29">
        <v>44894</v>
      </c>
      <c r="C330" s="20">
        <v>0.14000000000000001</v>
      </c>
      <c r="D330" s="30">
        <f t="shared" ca="1" si="28"/>
        <v>114.58525782437945</v>
      </c>
      <c r="E330" s="31">
        <f>+E329*(1+C329*F330/365)</f>
        <v>114.58525782437945</v>
      </c>
      <c r="F330" s="32">
        <f t="shared" si="29"/>
        <v>1</v>
      </c>
      <c r="G330" s="20">
        <f t="shared" ca="1" si="30"/>
        <v>0.1401381469390604</v>
      </c>
      <c r="H330" s="20">
        <f t="shared" ca="1" si="26"/>
        <v>0.14075610186056856</v>
      </c>
      <c r="I330" s="20">
        <f t="shared" ca="1" si="25"/>
        <v>0.14345437425865062</v>
      </c>
      <c r="J330" s="20">
        <f t="shared" ca="1" si="27"/>
        <v>0.1550294106210465</v>
      </c>
      <c r="K330" s="36">
        <v>15</v>
      </c>
    </row>
    <row r="331" spans="1:11" x14ac:dyDescent="0.25">
      <c r="A331" s="13" t="s">
        <v>7</v>
      </c>
      <c r="B331" s="29">
        <v>44895</v>
      </c>
      <c r="C331" s="20">
        <v>0.14000000000000001</v>
      </c>
      <c r="D331" s="30">
        <f t="shared" ca="1" si="28"/>
        <v>114.62920833422992</v>
      </c>
      <c r="E331" s="31">
        <f>+E330*(1+C330*F331/365)</f>
        <v>114.62920833422992</v>
      </c>
      <c r="F331" s="32">
        <f t="shared" si="29"/>
        <v>1</v>
      </c>
      <c r="G331" s="20">
        <f t="shared" ca="1" si="30"/>
        <v>0.14013814693907198</v>
      </c>
      <c r="H331" s="20">
        <f t="shared" ca="1" si="26"/>
        <v>0.14075971902297618</v>
      </c>
      <c r="I331" s="20">
        <f t="shared" ca="1" si="25"/>
        <v>0.14340351158692574</v>
      </c>
      <c r="J331" s="20">
        <f t="shared" ca="1" si="27"/>
        <v>0.15480626939222969</v>
      </c>
      <c r="K331" s="36">
        <v>15</v>
      </c>
    </row>
    <row r="332" spans="1:11" x14ac:dyDescent="0.25">
      <c r="A332" s="13" t="s">
        <v>7</v>
      </c>
      <c r="B332" s="29">
        <v>44896</v>
      </c>
      <c r="C332" s="20">
        <v>0.14000000000000001</v>
      </c>
      <c r="D332" s="30">
        <f t="shared" ca="1" si="28"/>
        <v>114.67317570181018</v>
      </c>
      <c r="E332" s="31">
        <f>+E331*(1+C331*F332/365)</f>
        <v>114.67317570181018</v>
      </c>
      <c r="F332" s="32">
        <f t="shared" si="29"/>
        <v>1</v>
      </c>
      <c r="G332" s="20">
        <f t="shared" ca="1" si="30"/>
        <v>0.14013814693907198</v>
      </c>
      <c r="H332" s="20">
        <f t="shared" ca="1" si="26"/>
        <v>0.14075971902297618</v>
      </c>
      <c r="I332" s="20">
        <f t="shared" ca="1" si="25"/>
        <v>0.14335330640190749</v>
      </c>
      <c r="J332" s="20">
        <f t="shared" ca="1" si="27"/>
        <v>0.15458634119794759</v>
      </c>
      <c r="K332" s="36">
        <v>15</v>
      </c>
    </row>
    <row r="333" spans="1:11" x14ac:dyDescent="0.25">
      <c r="A333" s="13" t="s">
        <v>7</v>
      </c>
      <c r="B333" s="29">
        <v>44897</v>
      </c>
      <c r="C333" s="20">
        <v>0.14000000000000001</v>
      </c>
      <c r="D333" s="30">
        <f t="shared" ca="1" si="28"/>
        <v>114.71715993358623</v>
      </c>
      <c r="E333" s="31">
        <f>+E332*(1+C332*F333/365)</f>
        <v>114.71715993358623</v>
      </c>
      <c r="F333" s="32">
        <f t="shared" si="29"/>
        <v>1</v>
      </c>
      <c r="G333" s="20">
        <f t="shared" ca="1" si="30"/>
        <v>0.14013814693907198</v>
      </c>
      <c r="H333" s="20">
        <f t="shared" ca="1" si="26"/>
        <v>0.14075971902297618</v>
      </c>
      <c r="I333" s="20">
        <f t="shared" ca="1" si="25"/>
        <v>0.14330375816072541</v>
      </c>
      <c r="J333" s="20">
        <f t="shared" ca="1" si="27"/>
        <v>0.15436694664311057</v>
      </c>
      <c r="K333" s="36">
        <v>15</v>
      </c>
    </row>
    <row r="334" spans="1:11" x14ac:dyDescent="0.25">
      <c r="A334" s="23" t="s">
        <v>6</v>
      </c>
      <c r="B334" s="24">
        <v>44898</v>
      </c>
      <c r="C334" s="28">
        <v>0.14000000000000001</v>
      </c>
      <c r="D334" s="25">
        <f t="shared" ca="1" si="28"/>
        <v>114.76116103602652</v>
      </c>
      <c r="E334" s="26">
        <f>+E333*(1+C333*F334/365)</f>
        <v>114.76116103602652</v>
      </c>
      <c r="F334" s="27">
        <f t="shared" si="29"/>
        <v>1</v>
      </c>
      <c r="G334" s="28">
        <f t="shared" ca="1" si="30"/>
        <v>0.14013814693907198</v>
      </c>
      <c r="H334" s="28">
        <f t="shared" ca="1" si="26"/>
        <v>0.14075971902297887</v>
      </c>
      <c r="I334" s="28">
        <f t="shared" ca="1" si="25"/>
        <v>0.14325486632145992</v>
      </c>
      <c r="J334" s="28">
        <f t="shared" ca="1" si="27"/>
        <v>0.15414808507638164</v>
      </c>
      <c r="K334" s="36">
        <v>15</v>
      </c>
    </row>
    <row r="335" spans="1:11" x14ac:dyDescent="0.25">
      <c r="A335" s="23" t="s">
        <v>6</v>
      </c>
      <c r="B335" s="24">
        <v>44899</v>
      </c>
      <c r="C335" s="28">
        <v>0.14000000000000001</v>
      </c>
      <c r="D335" s="25">
        <f t="shared" ca="1" si="28"/>
        <v>114.80516213846678</v>
      </c>
      <c r="E335" s="26">
        <f>+E333*(1+C334*F335/365)</f>
        <v>114.80516213846678</v>
      </c>
      <c r="F335" s="27">
        <f t="shared" si="29"/>
        <v>2</v>
      </c>
      <c r="G335" s="28">
        <f t="shared" ca="1" si="30"/>
        <v>0.14013814693907198</v>
      </c>
      <c r="H335" s="28">
        <f t="shared" ca="1" si="26"/>
        <v>0.14075790974833499</v>
      </c>
      <c r="I335" s="28">
        <f t="shared" ca="1" si="25"/>
        <v>0.14320601309679037</v>
      </c>
      <c r="J335" s="28">
        <f t="shared" ca="1" si="27"/>
        <v>0.15391978086365329</v>
      </c>
      <c r="K335" s="36">
        <v>15</v>
      </c>
    </row>
    <row r="336" spans="1:11" x14ac:dyDescent="0.25">
      <c r="A336" s="13" t="s">
        <v>7</v>
      </c>
      <c r="B336" s="29">
        <v>44900</v>
      </c>
      <c r="C336" s="20">
        <v>0.14000000000000001</v>
      </c>
      <c r="D336" s="30">
        <f t="shared" ca="1" si="28"/>
        <v>114.84916324090707</v>
      </c>
      <c r="E336" s="31">
        <f>+E333*(1+C335*F336/365)</f>
        <v>114.84916324090707</v>
      </c>
      <c r="F336" s="32">
        <f t="shared" si="29"/>
        <v>3</v>
      </c>
      <c r="G336" s="20">
        <f t="shared" ca="1" si="30"/>
        <v>0.14013814693907198</v>
      </c>
      <c r="H336" s="20">
        <f t="shared" ca="1" si="26"/>
        <v>0.1407542925864623</v>
      </c>
      <c r="I336" s="20">
        <f t="shared" ca="1" si="25"/>
        <v>0.14314728465281765</v>
      </c>
      <c r="J336" s="20">
        <f t="shared" ca="1" si="27"/>
        <v>0.15373990558503239</v>
      </c>
      <c r="K336" s="36">
        <v>15</v>
      </c>
    </row>
    <row r="337" spans="1:11" x14ac:dyDescent="0.25">
      <c r="A337" s="13" t="s">
        <v>7</v>
      </c>
      <c r="B337" s="29">
        <v>44901</v>
      </c>
      <c r="C337" s="20">
        <v>0.14000000000000001</v>
      </c>
      <c r="D337" s="30">
        <f t="shared" ca="1" si="28"/>
        <v>114.89321497475291</v>
      </c>
      <c r="E337" s="31">
        <f>+E336*(1+C336*F337/365)</f>
        <v>114.89321497475291</v>
      </c>
      <c r="F337" s="32">
        <f t="shared" si="29"/>
        <v>1</v>
      </c>
      <c r="G337" s="20">
        <f t="shared" ca="1" si="30"/>
        <v>0.14013814693907198</v>
      </c>
      <c r="H337" s="20">
        <f t="shared" ca="1" si="26"/>
        <v>0.14075610186057125</v>
      </c>
      <c r="I337" s="20">
        <f t="shared" ca="1" si="25"/>
        <v>0.14309362924167174</v>
      </c>
      <c r="J337" s="20">
        <f t="shared" ca="1" si="27"/>
        <v>0.15356068623376923</v>
      </c>
      <c r="K337" s="36">
        <v>15</v>
      </c>
    </row>
    <row r="338" spans="1:11" x14ac:dyDescent="0.25">
      <c r="A338" s="13" t="s">
        <v>7</v>
      </c>
      <c r="B338" s="29">
        <v>44902</v>
      </c>
      <c r="C338" s="20">
        <v>0.14000000000000001</v>
      </c>
      <c r="D338" s="30">
        <f t="shared" ca="1" si="28"/>
        <v>114.93728360515419</v>
      </c>
      <c r="E338" s="31">
        <f>+E337*(1+C337*F338/365)</f>
        <v>114.93728360515419</v>
      </c>
      <c r="F338" s="32">
        <f t="shared" si="29"/>
        <v>1</v>
      </c>
      <c r="G338" s="20">
        <f t="shared" ca="1" si="30"/>
        <v>0.14013814693907198</v>
      </c>
      <c r="H338" s="20">
        <f t="shared" ca="1" si="26"/>
        <v>0.14075971902297887</v>
      </c>
      <c r="I338" s="20">
        <f t="shared" ca="1" si="25"/>
        <v>0.14304074215245835</v>
      </c>
      <c r="J338" s="20">
        <f t="shared" ca="1" si="27"/>
        <v>0.15338148160600606</v>
      </c>
      <c r="K338" s="36">
        <v>15</v>
      </c>
    </row>
    <row r="339" spans="1:11" x14ac:dyDescent="0.25">
      <c r="A339" s="23" t="s">
        <v>6</v>
      </c>
      <c r="B339" s="24">
        <v>44903</v>
      </c>
      <c r="C339" s="28">
        <v>0.14000000000000001</v>
      </c>
      <c r="D339" s="25">
        <f t="shared" ca="1" si="28"/>
        <v>114.98136913859179</v>
      </c>
      <c r="E339" s="26">
        <f>+E337*(1+C338*F339/365)</f>
        <v>114.93728360515419</v>
      </c>
      <c r="F339" s="27">
        <f t="shared" si="29"/>
        <v>1</v>
      </c>
      <c r="G339" s="28">
        <f t="shared" ca="1" si="30"/>
        <v>0.1401381469390604</v>
      </c>
      <c r="H339" s="28">
        <f t="shared" ca="1" si="26"/>
        <v>0.14075971902297618</v>
      </c>
      <c r="I339" s="28">
        <f t="shared" ca="1" si="25"/>
        <v>0.14298324997404016</v>
      </c>
      <c r="J339" s="28">
        <f t="shared" ca="1" si="27"/>
        <v>0.15320229170053348</v>
      </c>
      <c r="K339" s="36">
        <v>15</v>
      </c>
    </row>
    <row r="340" spans="1:11" x14ac:dyDescent="0.25">
      <c r="A340" s="13" t="s">
        <v>7</v>
      </c>
      <c r="B340" s="29">
        <v>44904</v>
      </c>
      <c r="C340" s="20">
        <v>0.14000000000000001</v>
      </c>
      <c r="D340" s="30">
        <f t="shared" ca="1" si="28"/>
        <v>115.02545467202937</v>
      </c>
      <c r="E340" s="31">
        <f>+E338*(1+C339*F340/365)</f>
        <v>115.02545467202937</v>
      </c>
      <c r="F340" s="32">
        <f t="shared" si="29"/>
        <v>2</v>
      </c>
      <c r="G340" s="20">
        <f t="shared" ca="1" si="30"/>
        <v>0.14013046098631854</v>
      </c>
      <c r="H340" s="20">
        <f t="shared" ca="1" si="26"/>
        <v>0.14075790974833499</v>
      </c>
      <c r="I340" s="20">
        <f t="shared" ca="1" si="25"/>
        <v>0.14292514137781956</v>
      </c>
      <c r="J340" s="20">
        <f t="shared" ca="1" si="27"/>
        <v>0.15302326855634529</v>
      </c>
      <c r="K340" s="36">
        <v>15</v>
      </c>
    </row>
    <row r="341" spans="1:11" x14ac:dyDescent="0.25">
      <c r="A341" s="23" t="s">
        <v>6</v>
      </c>
      <c r="B341" s="24">
        <v>44905</v>
      </c>
      <c r="C341" s="28">
        <v>0.14000000000000001</v>
      </c>
      <c r="D341" s="25">
        <f t="shared" ca="1" si="28"/>
        <v>115.06957402450632</v>
      </c>
      <c r="E341" s="26">
        <f>+E340*(1+C340*F341/365)</f>
        <v>115.06957402450632</v>
      </c>
      <c r="F341" s="27">
        <f t="shared" si="29"/>
        <v>1</v>
      </c>
      <c r="G341" s="28">
        <f t="shared" ca="1" si="30"/>
        <v>0.14013046098631854</v>
      </c>
      <c r="H341" s="28">
        <f t="shared" ca="1" si="26"/>
        <v>0.14075790974833768</v>
      </c>
      <c r="I341" s="28">
        <f t="shared" ca="1" si="25"/>
        <v>0.14286831283353504</v>
      </c>
      <c r="J341" s="28">
        <f t="shared" ca="1" si="27"/>
        <v>0.15284505282754296</v>
      </c>
      <c r="K341" s="36">
        <v>15</v>
      </c>
    </row>
    <row r="342" spans="1:11" x14ac:dyDescent="0.25">
      <c r="A342" s="23" t="s">
        <v>6</v>
      </c>
      <c r="B342" s="24">
        <v>44906</v>
      </c>
      <c r="C342" s="28">
        <v>0.14000000000000001</v>
      </c>
      <c r="D342" s="25">
        <f t="shared" ca="1" si="28"/>
        <v>115.11369337698325</v>
      </c>
      <c r="E342" s="26">
        <f>+E340*(1+C341*F342/365)</f>
        <v>115.11369337698325</v>
      </c>
      <c r="F342" s="27">
        <f t="shared" si="29"/>
        <v>2</v>
      </c>
      <c r="G342" s="28">
        <f t="shared" ca="1" si="30"/>
        <v>0.14013046098631854</v>
      </c>
      <c r="H342" s="28">
        <f t="shared" ca="1" si="26"/>
        <v>0.14075610047396125</v>
      </c>
      <c r="I342" s="28">
        <f t="shared" ca="1" si="25"/>
        <v>0.14281152938694924</v>
      </c>
      <c r="J342" s="28">
        <f t="shared" ca="1" si="27"/>
        <v>0.15266558645166178</v>
      </c>
      <c r="K342" s="36">
        <v>15</v>
      </c>
    </row>
    <row r="343" spans="1:11" x14ac:dyDescent="0.25">
      <c r="A343" s="13" t="s">
        <v>7</v>
      </c>
      <c r="B343" s="29">
        <v>44907</v>
      </c>
      <c r="C343" s="20">
        <v>0.14000000000000001</v>
      </c>
      <c r="D343" s="30">
        <f t="shared" ca="1" si="28"/>
        <v>115.15781272946019</v>
      </c>
      <c r="E343" s="31">
        <f>+E340*(1+C342*F343/365)</f>
        <v>115.15781272946019</v>
      </c>
      <c r="F343" s="32">
        <f t="shared" si="29"/>
        <v>3</v>
      </c>
      <c r="G343" s="20">
        <f t="shared" ca="1" si="30"/>
        <v>0.14013046098631854</v>
      </c>
      <c r="H343" s="20">
        <f t="shared" ca="1" si="26"/>
        <v>0.14075248331261805</v>
      </c>
      <c r="I343" s="20">
        <f t="shared" ca="1" si="25"/>
        <v>0.142752806460655</v>
      </c>
      <c r="J343" s="20">
        <f t="shared" ca="1" si="27"/>
        <v>0.15248581457810126</v>
      </c>
      <c r="K343" s="36">
        <v>15</v>
      </c>
    </row>
    <row r="344" spans="1:11" x14ac:dyDescent="0.25">
      <c r="A344" s="13" t="s">
        <v>7</v>
      </c>
      <c r="B344" s="29">
        <v>44908</v>
      </c>
      <c r="C344" s="20">
        <v>0.14000000000000001</v>
      </c>
      <c r="D344" s="30">
        <f t="shared" ca="1" si="28"/>
        <v>115.20198284941122</v>
      </c>
      <c r="E344" s="31">
        <f>+E343*(1+C343*F344/365)</f>
        <v>115.20198284941122</v>
      </c>
      <c r="F344" s="32">
        <f t="shared" si="29"/>
        <v>1</v>
      </c>
      <c r="G344" s="20">
        <f t="shared" ca="1" si="30"/>
        <v>0.14013046098631854</v>
      </c>
      <c r="H344" s="20">
        <f t="shared" ca="1" si="26"/>
        <v>0.1407542925864623</v>
      </c>
      <c r="I344" s="20">
        <f t="shared" ca="1" si="25"/>
        <v>0.14269531822499518</v>
      </c>
      <c r="J344" s="20">
        <f t="shared" ca="1" si="27"/>
        <v>0.15230669825482573</v>
      </c>
      <c r="K344" s="36">
        <v>15</v>
      </c>
    </row>
    <row r="345" spans="1:11" x14ac:dyDescent="0.25">
      <c r="A345" s="13" t="s">
        <v>7</v>
      </c>
      <c r="B345" s="29">
        <v>44909</v>
      </c>
      <c r="C345" s="20">
        <v>0.14000000000000001</v>
      </c>
      <c r="D345" s="30">
        <f t="shared" ca="1" si="28"/>
        <v>115.24616991132608</v>
      </c>
      <c r="E345" s="31">
        <f>+E344*(1+C344*F345/365)</f>
        <v>115.24616991132608</v>
      </c>
      <c r="F345" s="32">
        <f t="shared" si="29"/>
        <v>1</v>
      </c>
      <c r="G345" s="20">
        <f t="shared" ca="1" si="30"/>
        <v>0.14013046098631854</v>
      </c>
      <c r="H345" s="20">
        <f t="shared" ca="1" si="26"/>
        <v>0.14075790974833768</v>
      </c>
      <c r="I345" s="20">
        <f t="shared" ca="1" si="25"/>
        <v>0.14265404207761306</v>
      </c>
      <c r="J345" s="20">
        <f t="shared" ca="1" si="27"/>
        <v>0.15212759664658623</v>
      </c>
      <c r="K345" s="36">
        <v>15</v>
      </c>
    </row>
    <row r="346" spans="1:11" x14ac:dyDescent="0.25">
      <c r="A346" s="13" t="s">
        <v>7</v>
      </c>
      <c r="B346" s="29">
        <v>44910</v>
      </c>
      <c r="C346" s="20">
        <v>0.14000000000000001</v>
      </c>
      <c r="D346" s="30">
        <f t="shared" ca="1" si="28"/>
        <v>115.29037392170304</v>
      </c>
      <c r="E346" s="31">
        <f>+E345*(1+C345*F346/365)</f>
        <v>115.29037392170304</v>
      </c>
      <c r="F346" s="32">
        <f t="shared" si="29"/>
        <v>1</v>
      </c>
      <c r="G346" s="20">
        <f t="shared" ca="1" si="30"/>
        <v>0.14013046098631854</v>
      </c>
      <c r="H346" s="20">
        <f t="shared" ca="1" si="26"/>
        <v>0.14075790974833768</v>
      </c>
      <c r="I346" s="20">
        <f t="shared" ca="1" si="25"/>
        <v>0.14259979741267653</v>
      </c>
      <c r="J346" s="20">
        <f t="shared" ca="1" si="27"/>
        <v>0.15194850975217342</v>
      </c>
      <c r="K346" s="36">
        <v>15</v>
      </c>
    </row>
    <row r="347" spans="1:11" x14ac:dyDescent="0.25">
      <c r="A347" s="13" t="s">
        <v>7</v>
      </c>
      <c r="B347" s="29">
        <v>44911</v>
      </c>
      <c r="C347" s="20">
        <v>0.14000000000000001</v>
      </c>
      <c r="D347" s="30">
        <f t="shared" ca="1" si="28"/>
        <v>115.33459488704287</v>
      </c>
      <c r="E347" s="31">
        <f>+E346*(1+C346*F347/365)</f>
        <v>115.33459488704287</v>
      </c>
      <c r="F347" s="32">
        <f t="shared" si="29"/>
        <v>1</v>
      </c>
      <c r="G347" s="20">
        <f t="shared" ca="1" si="30"/>
        <v>0.1401381469390604</v>
      </c>
      <c r="H347" s="20">
        <f t="shared" ca="1" si="26"/>
        <v>0.14075790974833768</v>
      </c>
      <c r="I347" s="20">
        <f t="shared" ca="1" si="25"/>
        <v>0.14257249129964755</v>
      </c>
      <c r="J347" s="20">
        <f t="shared" ca="1" si="27"/>
        <v>0.15176990993138154</v>
      </c>
      <c r="K347" s="36">
        <v>15</v>
      </c>
    </row>
    <row r="348" spans="1:11" x14ac:dyDescent="0.25">
      <c r="A348" s="23" t="s">
        <v>6</v>
      </c>
      <c r="B348" s="24">
        <v>44912</v>
      </c>
      <c r="C348" s="28">
        <v>0.14000000000000001</v>
      </c>
      <c r="D348" s="25">
        <f t="shared" ca="1" si="28"/>
        <v>115.37883281384886</v>
      </c>
      <c r="E348" s="26">
        <f>+E347*(1+C347*F348/365)</f>
        <v>115.37883281384886</v>
      </c>
      <c r="F348" s="27">
        <f t="shared" si="29"/>
        <v>1</v>
      </c>
      <c r="G348" s="28">
        <f t="shared" ca="1" si="30"/>
        <v>0.1401381469390604</v>
      </c>
      <c r="H348" s="28">
        <f t="shared" ca="1" si="26"/>
        <v>0.14075790974833768</v>
      </c>
      <c r="I348" s="28">
        <f t="shared" ref="I348:I411" ca="1" si="31">($D348/OFFSET($D348,-90,0)-1)*365/90</f>
        <v>0.14254582362172286</v>
      </c>
      <c r="J348" s="28">
        <f t="shared" ca="1" si="27"/>
        <v>0.15159179662742941</v>
      </c>
      <c r="K348" s="36">
        <v>15</v>
      </c>
    </row>
    <row r="349" spans="1:11" x14ac:dyDescent="0.25">
      <c r="A349" s="23" t="s">
        <v>6</v>
      </c>
      <c r="B349" s="24">
        <v>44913</v>
      </c>
      <c r="C349" s="28">
        <v>0.14000000000000001</v>
      </c>
      <c r="D349" s="25">
        <f t="shared" ca="1" si="28"/>
        <v>115.42307074065484</v>
      </c>
      <c r="E349" s="26">
        <f>+E347*(1+C348*F349/365)</f>
        <v>115.42307074065484</v>
      </c>
      <c r="F349" s="27">
        <f t="shared" si="29"/>
        <v>2</v>
      </c>
      <c r="G349" s="28">
        <f t="shared" ca="1" si="30"/>
        <v>0.1401381469390604</v>
      </c>
      <c r="H349" s="28">
        <f t="shared" ca="1" si="26"/>
        <v>0.14075610047396125</v>
      </c>
      <c r="I349" s="28">
        <f t="shared" ca="1" si="31"/>
        <v>0.14251917672392228</v>
      </c>
      <c r="J349" s="28">
        <f t="shared" ca="1" si="27"/>
        <v>0.15141243339517538</v>
      </c>
      <c r="K349" s="36">
        <v>15</v>
      </c>
    </row>
    <row r="350" spans="1:11" x14ac:dyDescent="0.25">
      <c r="A350" s="13" t="s">
        <v>7</v>
      </c>
      <c r="B350" s="29">
        <v>44914</v>
      </c>
      <c r="C350" s="20">
        <v>0.14000000000000001</v>
      </c>
      <c r="D350" s="30">
        <f t="shared" ca="1" si="28"/>
        <v>115.46730866746083</v>
      </c>
      <c r="E350" s="31">
        <f>+E347*(1+C349*F350/365)</f>
        <v>115.46730866746083</v>
      </c>
      <c r="F350" s="32">
        <f t="shared" si="29"/>
        <v>3</v>
      </c>
      <c r="G350" s="20">
        <f t="shared" ca="1" si="30"/>
        <v>0.1401381469390604</v>
      </c>
      <c r="H350" s="20">
        <f t="shared" ca="1" si="26"/>
        <v>0.14075248331261805</v>
      </c>
      <c r="I350" s="20">
        <f t="shared" ca="1" si="31"/>
        <v>0.14246045788679024</v>
      </c>
      <c r="J350" s="20">
        <f t="shared" ca="1" si="27"/>
        <v>0.15123276484081932</v>
      </c>
      <c r="K350" s="36">
        <v>15</v>
      </c>
    </row>
    <row r="351" spans="1:11" x14ac:dyDescent="0.25">
      <c r="A351" s="13" t="s">
        <v>7</v>
      </c>
      <c r="B351" s="29">
        <v>44915</v>
      </c>
      <c r="C351" s="20">
        <v>0.14000000000000001</v>
      </c>
      <c r="D351" s="30">
        <f t="shared" ca="1" si="28"/>
        <v>115.5115974981826</v>
      </c>
      <c r="E351" s="31">
        <f>+E350*(1+C350*F351/365)</f>
        <v>115.5115974981826</v>
      </c>
      <c r="F351" s="32">
        <f t="shared" si="29"/>
        <v>1</v>
      </c>
      <c r="G351" s="20">
        <f t="shared" ca="1" si="30"/>
        <v>0.1401381469390604</v>
      </c>
      <c r="H351" s="20">
        <f t="shared" ca="1" si="26"/>
        <v>0.1407542925864623</v>
      </c>
      <c r="I351" s="20">
        <f t="shared" ca="1" si="31"/>
        <v>0.1424430071498011</v>
      </c>
      <c r="J351" s="20">
        <f t="shared" ca="1" si="27"/>
        <v>0.15105375145998706</v>
      </c>
      <c r="K351" s="36">
        <v>15</v>
      </c>
    </row>
    <row r="352" spans="1:11" x14ac:dyDescent="0.25">
      <c r="A352" s="13" t="s">
        <v>7</v>
      </c>
      <c r="B352" s="29">
        <v>44916</v>
      </c>
      <c r="C352" s="20">
        <v>0.14000000000000001</v>
      </c>
      <c r="D352" s="30">
        <f t="shared" ca="1" si="28"/>
        <v>115.55590331640109</v>
      </c>
      <c r="E352" s="31">
        <f>+E351*(1+C351*F352/365)</f>
        <v>115.55590331640109</v>
      </c>
      <c r="F352" s="32">
        <f t="shared" si="29"/>
        <v>1</v>
      </c>
      <c r="G352" s="20">
        <f t="shared" ca="1" si="30"/>
        <v>0.1401381469390604</v>
      </c>
      <c r="H352" s="20">
        <f t="shared" ref="H352:H415" ca="1" si="32">($D352/OFFSET($D352,-30,0)-1)*365/30</f>
        <v>0.14075790974833768</v>
      </c>
      <c r="I352" s="20">
        <f t="shared" ca="1" si="31"/>
        <v>0.14241825690404544</v>
      </c>
      <c r="J352" s="20">
        <f t="shared" ca="1" si="27"/>
        <v>0.15087475278573365</v>
      </c>
      <c r="K352" s="36">
        <v>15</v>
      </c>
    </row>
    <row r="353" spans="1:11" x14ac:dyDescent="0.25">
      <c r="A353" s="13" t="s">
        <v>7</v>
      </c>
      <c r="B353" s="29">
        <v>44917</v>
      </c>
      <c r="C353" s="20">
        <v>0.14000000000000001</v>
      </c>
      <c r="D353" s="30">
        <f t="shared" ca="1" si="28"/>
        <v>115.60022612863204</v>
      </c>
      <c r="E353" s="31">
        <f>+E352*(1+C352*F353/365)</f>
        <v>115.60022612863204</v>
      </c>
      <c r="F353" s="32">
        <f t="shared" si="29"/>
        <v>1</v>
      </c>
      <c r="G353" s="20">
        <f t="shared" ca="1" si="30"/>
        <v>0.1401381469390604</v>
      </c>
      <c r="H353" s="20">
        <f t="shared" ca="1" si="32"/>
        <v>0.14075790974833768</v>
      </c>
      <c r="I353" s="20">
        <f t="shared" ca="1" si="31"/>
        <v>0.14239202143615934</v>
      </c>
      <c r="J353" s="20">
        <f t="shared" ca="1" si="27"/>
        <v>0.15069576881685154</v>
      </c>
      <c r="K353" s="36">
        <v>15</v>
      </c>
    </row>
    <row r="354" spans="1:11" x14ac:dyDescent="0.25">
      <c r="A354" s="13" t="s">
        <v>7</v>
      </c>
      <c r="B354" s="29">
        <v>44918</v>
      </c>
      <c r="C354" s="20">
        <v>0.14000000000000001</v>
      </c>
      <c r="D354" s="30">
        <f t="shared" ca="1" si="28"/>
        <v>115.64456594139372</v>
      </c>
      <c r="E354" s="31">
        <f>+E353*(1+C353*F354/365)</f>
        <v>115.64456594139372</v>
      </c>
      <c r="F354" s="32">
        <f t="shared" si="29"/>
        <v>1</v>
      </c>
      <c r="G354" s="20">
        <f t="shared" ca="1" si="30"/>
        <v>0.1401381469390604</v>
      </c>
      <c r="H354" s="20">
        <f t="shared" ca="1" si="32"/>
        <v>0.14075790974833768</v>
      </c>
      <c r="I354" s="20">
        <f t="shared" ca="1" si="31"/>
        <v>0.14239202143616025</v>
      </c>
      <c r="J354" s="20">
        <f t="shared" ca="1" si="27"/>
        <v>0.15051727164165651</v>
      </c>
      <c r="K354" s="36">
        <v>15</v>
      </c>
    </row>
    <row r="355" spans="1:11" x14ac:dyDescent="0.25">
      <c r="A355" s="23" t="s">
        <v>6</v>
      </c>
      <c r="B355" s="24">
        <v>44919</v>
      </c>
      <c r="C355" s="28">
        <v>0.14000000000000001</v>
      </c>
      <c r="D355" s="25">
        <f t="shared" ca="1" si="28"/>
        <v>115.68892276120687</v>
      </c>
      <c r="E355" s="26">
        <f>+E354*(1+C354*F355/365)</f>
        <v>115.68892276120687</v>
      </c>
      <c r="F355" s="27">
        <f t="shared" si="29"/>
        <v>1</v>
      </c>
      <c r="G355" s="28">
        <f t="shared" ca="1" si="30"/>
        <v>0.1401381469390604</v>
      </c>
      <c r="H355" s="28">
        <f t="shared" ca="1" si="32"/>
        <v>0.14075790974833768</v>
      </c>
      <c r="I355" s="28">
        <f t="shared" ca="1" si="31"/>
        <v>0.14239263856284207</v>
      </c>
      <c r="J355" s="28">
        <f t="shared" ca="1" si="27"/>
        <v>0.15033926070368889</v>
      </c>
      <c r="K355" s="36">
        <v>15</v>
      </c>
    </row>
    <row r="356" spans="1:11" x14ac:dyDescent="0.25">
      <c r="A356" s="23" t="s">
        <v>6</v>
      </c>
      <c r="B356" s="24">
        <v>44920</v>
      </c>
      <c r="C356" s="28">
        <v>0.14000000000000001</v>
      </c>
      <c r="D356" s="25">
        <f t="shared" ca="1" si="28"/>
        <v>115.73327958101999</v>
      </c>
      <c r="E356" s="26">
        <f>+E354*(1+C355*F356/365)</f>
        <v>115.73327958101999</v>
      </c>
      <c r="F356" s="27">
        <f t="shared" si="29"/>
        <v>2</v>
      </c>
      <c r="G356" s="28">
        <f t="shared" ca="1" si="30"/>
        <v>0.1401381469390604</v>
      </c>
      <c r="H356" s="28">
        <f t="shared" ca="1" si="32"/>
        <v>0.14075610047396125</v>
      </c>
      <c r="I356" s="28">
        <f t="shared" ca="1" si="31"/>
        <v>0.14239325521665483</v>
      </c>
      <c r="J356" s="28">
        <f t="shared" ca="1" si="27"/>
        <v>0.15016000055578294</v>
      </c>
      <c r="K356" s="36">
        <v>15</v>
      </c>
    </row>
    <row r="357" spans="1:11" x14ac:dyDescent="0.25">
      <c r="A357" s="13" t="s">
        <v>7</v>
      </c>
      <c r="B357" s="29">
        <v>44921</v>
      </c>
      <c r="C357" s="20">
        <v>0.14000000000000001</v>
      </c>
      <c r="D357" s="30">
        <f t="shared" ca="1" si="28"/>
        <v>115.77763640083313</v>
      </c>
      <c r="E357" s="31">
        <f>+E354*(1+C356*F357/365)</f>
        <v>115.77763640083313</v>
      </c>
      <c r="F357" s="32">
        <f t="shared" si="29"/>
        <v>3</v>
      </c>
      <c r="G357" s="20">
        <f t="shared" ca="1" si="30"/>
        <v>0.1401381469390604</v>
      </c>
      <c r="H357" s="20">
        <f t="shared" ca="1" si="32"/>
        <v>0.14075248331261805</v>
      </c>
      <c r="I357" s="20">
        <f t="shared" ca="1" si="31"/>
        <v>0.14239202143615934</v>
      </c>
      <c r="J357" s="20">
        <f t="shared" ca="1" si="27"/>
        <v>0.14998043526125099</v>
      </c>
      <c r="K357" s="36">
        <v>15</v>
      </c>
    </row>
    <row r="358" spans="1:11" x14ac:dyDescent="0.25">
      <c r="A358" s="13" t="s">
        <v>7</v>
      </c>
      <c r="B358" s="29">
        <v>44922</v>
      </c>
      <c r="C358" s="20">
        <v>0.14000000000000001</v>
      </c>
      <c r="D358" s="30">
        <f t="shared" ca="1" si="28"/>
        <v>115.82204426137045</v>
      </c>
      <c r="E358" s="31">
        <f>+E357*(1+C357*F358/365)</f>
        <v>115.82204426137045</v>
      </c>
      <c r="F358" s="32">
        <f t="shared" si="29"/>
        <v>1</v>
      </c>
      <c r="G358" s="20">
        <f t="shared" ca="1" si="30"/>
        <v>0.14013814693907198</v>
      </c>
      <c r="H358" s="20">
        <f t="shared" ca="1" si="32"/>
        <v>0.14075429258646499</v>
      </c>
      <c r="I358" s="20">
        <f t="shared" ca="1" si="31"/>
        <v>0.14239202143616025</v>
      </c>
      <c r="J358" s="20">
        <f t="shared" ca="1" si="27"/>
        <v>0.14980152476369912</v>
      </c>
      <c r="K358" s="36">
        <v>15</v>
      </c>
    </row>
    <row r="359" spans="1:11" x14ac:dyDescent="0.25">
      <c r="A359" s="13" t="s">
        <v>7</v>
      </c>
      <c r="B359" s="29">
        <v>44923</v>
      </c>
      <c r="C359" s="20">
        <v>0.14000000000000001</v>
      </c>
      <c r="D359" s="30">
        <f t="shared" ca="1" si="28"/>
        <v>115.86646915505975</v>
      </c>
      <c r="E359" s="31">
        <f>+E358*(1+C358*F359/365)</f>
        <v>115.86646915505975</v>
      </c>
      <c r="F359" s="32">
        <f t="shared" si="29"/>
        <v>1</v>
      </c>
      <c r="G359" s="20">
        <f t="shared" ca="1" si="30"/>
        <v>0.1401381469390604</v>
      </c>
      <c r="H359" s="20">
        <f t="shared" ca="1" si="32"/>
        <v>0.14075790974833768</v>
      </c>
      <c r="I359" s="20">
        <f t="shared" ca="1" si="31"/>
        <v>0.14239202143615934</v>
      </c>
      <c r="J359" s="20">
        <f t="shared" ca="1" si="27"/>
        <v>0.14962262896427342</v>
      </c>
      <c r="K359" s="36">
        <v>15</v>
      </c>
    </row>
    <row r="360" spans="1:11" x14ac:dyDescent="0.25">
      <c r="A360" s="13" t="s">
        <v>7</v>
      </c>
      <c r="B360" s="29">
        <v>44924</v>
      </c>
      <c r="C360" s="20">
        <v>0.14000000000000001</v>
      </c>
      <c r="D360" s="30">
        <f t="shared" ca="1" si="28"/>
        <v>115.9109110884343</v>
      </c>
      <c r="E360" s="31">
        <f>+E359*(1+C359*F360/365)</f>
        <v>115.9109110884343</v>
      </c>
      <c r="F360" s="32">
        <f t="shared" si="29"/>
        <v>1</v>
      </c>
      <c r="G360" s="20">
        <f t="shared" ca="1" si="30"/>
        <v>0.1401381469390604</v>
      </c>
      <c r="H360" s="20">
        <f t="shared" ca="1" si="32"/>
        <v>0.14075790974833768</v>
      </c>
      <c r="I360" s="20">
        <f t="shared" ca="1" si="31"/>
        <v>0.14239202143616025</v>
      </c>
      <c r="J360" s="20">
        <f t="shared" ca="1" si="27"/>
        <v>0.14947958421125693</v>
      </c>
      <c r="K360" s="36">
        <v>15</v>
      </c>
    </row>
    <row r="361" spans="1:11" x14ac:dyDescent="0.25">
      <c r="A361" s="13" t="s">
        <v>7</v>
      </c>
      <c r="B361" s="29">
        <v>44925</v>
      </c>
      <c r="C361" s="20">
        <v>0.14249999999999999</v>
      </c>
      <c r="D361" s="30">
        <f t="shared" ca="1" si="28"/>
        <v>115.95537006802988</v>
      </c>
      <c r="E361" s="31">
        <f>+E360*(1+C360*F361/365)</f>
        <v>115.95537006802988</v>
      </c>
      <c r="F361" s="32">
        <f t="shared" si="29"/>
        <v>1</v>
      </c>
      <c r="G361" s="20">
        <f t="shared" ca="1" si="30"/>
        <v>0.14013814693907198</v>
      </c>
      <c r="H361" s="20">
        <f t="shared" ca="1" si="32"/>
        <v>0.14075790974833768</v>
      </c>
      <c r="I361" s="20">
        <f t="shared" ca="1" si="31"/>
        <v>0.14239202143616025</v>
      </c>
      <c r="J361" s="20">
        <f t="shared" ca="1" si="27"/>
        <v>0.14933698792950301</v>
      </c>
      <c r="K361" s="36">
        <v>15</v>
      </c>
    </row>
    <row r="362" spans="1:11" x14ac:dyDescent="0.25">
      <c r="A362" s="23" t="s">
        <v>6</v>
      </c>
      <c r="B362" s="24">
        <v>44926</v>
      </c>
      <c r="C362" s="28">
        <v>0.14249999999999999</v>
      </c>
      <c r="D362" s="25">
        <f t="shared" ca="1" si="28"/>
        <v>116.00064031524822</v>
      </c>
      <c r="E362" s="26">
        <f>+E361*(1+C361*F362/365)</f>
        <v>116.00064031524822</v>
      </c>
      <c r="F362" s="27">
        <f t="shared" si="29"/>
        <v>1</v>
      </c>
      <c r="G362" s="28">
        <f t="shared" ca="1" si="30"/>
        <v>0.14049611234472284</v>
      </c>
      <c r="H362" s="28">
        <f t="shared" ca="1" si="32"/>
        <v>0.14084217485607789</v>
      </c>
      <c r="I362" s="28">
        <f t="shared" ca="1" si="31"/>
        <v>0.14242138060831902</v>
      </c>
      <c r="J362" s="28">
        <f t="shared" ca="1" si="27"/>
        <v>0.14920974469239903</v>
      </c>
      <c r="K362" s="36">
        <v>15</v>
      </c>
    </row>
    <row r="363" spans="1:11" x14ac:dyDescent="0.25">
      <c r="A363" s="23" t="s">
        <v>6</v>
      </c>
      <c r="B363" s="24">
        <v>44927</v>
      </c>
      <c r="C363" s="28">
        <v>0.14249999999999999</v>
      </c>
      <c r="D363" s="25">
        <f t="shared" ca="1" si="28"/>
        <v>116.04591056246656</v>
      </c>
      <c r="E363" s="26">
        <f>+E361*(1+C362*F363/365)</f>
        <v>116.04591056246656</v>
      </c>
      <c r="F363" s="27">
        <f t="shared" si="29"/>
        <v>2</v>
      </c>
      <c r="G363" s="28">
        <f t="shared" ca="1" si="30"/>
        <v>0.14085380335729511</v>
      </c>
      <c r="H363" s="28">
        <f t="shared" ca="1" si="32"/>
        <v>0.14092456607250362</v>
      </c>
      <c r="I363" s="28">
        <f t="shared" ca="1" si="31"/>
        <v>0.14245071728425809</v>
      </c>
      <c r="J363" s="28">
        <f t="shared" ca="1" si="27"/>
        <v>0.14910031850634928</v>
      </c>
      <c r="K363" s="36">
        <v>15</v>
      </c>
    </row>
    <row r="364" spans="1:11" x14ac:dyDescent="0.25">
      <c r="A364" s="23" t="s">
        <v>6</v>
      </c>
      <c r="B364" s="24">
        <v>44928</v>
      </c>
      <c r="C364" s="28">
        <v>0.14249999999999999</v>
      </c>
      <c r="D364" s="25">
        <f t="shared" ca="1" si="28"/>
        <v>116.09118080968491</v>
      </c>
      <c r="E364" s="26">
        <f>+E363*(1+C363*F364/365)</f>
        <v>116.18182734812535</v>
      </c>
      <c r="F364" s="27">
        <f t="shared" si="29"/>
        <v>3</v>
      </c>
      <c r="G364" s="28">
        <f t="shared" ca="1" si="30"/>
        <v>0.14121122029212832</v>
      </c>
      <c r="H364" s="28">
        <f t="shared" ca="1" si="32"/>
        <v>0.14100508482218155</v>
      </c>
      <c r="I364" s="28">
        <f t="shared" ca="1" si="31"/>
        <v>0.14247818148987254</v>
      </c>
      <c r="J364" s="28">
        <f t="shared" ca="1" si="27"/>
        <v>0.14895385524098223</v>
      </c>
      <c r="K364" s="36">
        <v>15</v>
      </c>
    </row>
    <row r="365" spans="1:11" x14ac:dyDescent="0.25">
      <c r="A365" s="23" t="s">
        <v>6</v>
      </c>
      <c r="B365" s="24">
        <v>44929</v>
      </c>
      <c r="C365" s="28">
        <v>0.14249999999999999</v>
      </c>
      <c r="D365" s="25">
        <f t="shared" ca="1" si="28"/>
        <v>116.13645105690325</v>
      </c>
      <c r="E365" s="26">
        <f>+E363*(1+C364*F365/365)</f>
        <v>116.22713294334494</v>
      </c>
      <c r="F365" s="27">
        <f t="shared" si="29"/>
        <v>4</v>
      </c>
      <c r="G365" s="28">
        <f t="shared" ca="1" si="30"/>
        <v>0.14154532264353814</v>
      </c>
      <c r="H365" s="28">
        <f t="shared" ca="1" si="32"/>
        <v>0.14108554185140201</v>
      </c>
      <c r="I365" s="28">
        <f t="shared" ca="1" si="31"/>
        <v>0.14250500749991316</v>
      </c>
      <c r="J365" s="28">
        <f t="shared" ca="1" si="27"/>
        <v>0.14882261868926153</v>
      </c>
      <c r="K365" s="36">
        <v>15</v>
      </c>
    </row>
    <row r="366" spans="1:11" x14ac:dyDescent="0.25">
      <c r="A366" s="13" t="s">
        <v>7</v>
      </c>
      <c r="B366" s="29">
        <v>44930</v>
      </c>
      <c r="C366" s="20">
        <v>0.14050000000000001</v>
      </c>
      <c r="D366" s="30">
        <f t="shared" ca="1" si="28"/>
        <v>116.1817213041216</v>
      </c>
      <c r="E366" s="31">
        <f>+E361*(1+C365*F366/365)</f>
        <v>116.1817213041216</v>
      </c>
      <c r="F366" s="32">
        <f t="shared" si="29"/>
        <v>5</v>
      </c>
      <c r="G366" s="20">
        <f t="shared" ca="1" si="30"/>
        <v>0.14187148268505106</v>
      </c>
      <c r="H366" s="20">
        <f t="shared" ca="1" si="32"/>
        <v>0.14116593723109674</v>
      </c>
      <c r="I366" s="20">
        <f t="shared" ca="1" si="31"/>
        <v>0.14253119579972923</v>
      </c>
      <c r="J366" s="20">
        <f t="shared" ca="1" si="27"/>
        <v>0.14871698247544757</v>
      </c>
      <c r="K366" s="36">
        <v>15</v>
      </c>
    </row>
    <row r="367" spans="1:11" x14ac:dyDescent="0.25">
      <c r="A367" s="13" t="s">
        <v>7</v>
      </c>
      <c r="B367" s="29">
        <v>44931</v>
      </c>
      <c r="C367" s="20">
        <v>0.14000000000000001</v>
      </c>
      <c r="D367" s="30">
        <f t="shared" ca="1" si="28"/>
        <v>116.22644330917154</v>
      </c>
      <c r="E367" s="31">
        <f>+E366*(1+C366*F367/365)</f>
        <v>116.22644330917154</v>
      </c>
      <c r="F367" s="32">
        <f t="shared" si="29"/>
        <v>1</v>
      </c>
      <c r="G367" s="20">
        <f t="shared" ca="1" si="30"/>
        <v>0.14194307813970955</v>
      </c>
      <c r="H367" s="20">
        <f t="shared" ca="1" si="32"/>
        <v>0.14118279081137247</v>
      </c>
      <c r="I367" s="20">
        <f t="shared" ca="1" si="31"/>
        <v>0.14253694439855649</v>
      </c>
      <c r="J367" s="20">
        <f t="shared" ca="1" si="27"/>
        <v>0.14860075493731401</v>
      </c>
      <c r="K367" s="36">
        <v>15</v>
      </c>
    </row>
    <row r="368" spans="1:11" x14ac:dyDescent="0.25">
      <c r="A368" s="13" t="s">
        <v>7</v>
      </c>
      <c r="B368" s="29">
        <v>44932</v>
      </c>
      <c r="C368" s="20">
        <v>0.14000000000000001</v>
      </c>
      <c r="D368" s="30">
        <f t="shared" ca="1" si="28"/>
        <v>116.27102331482439</v>
      </c>
      <c r="E368" s="31">
        <f>+E367*(1+C367*F368/365)</f>
        <v>116.27102331482439</v>
      </c>
      <c r="F368" s="32">
        <f t="shared" si="29"/>
        <v>1</v>
      </c>
      <c r="G368" s="20">
        <f t="shared" ca="1" si="30"/>
        <v>0.14194307813970955</v>
      </c>
      <c r="H368" s="20">
        <f t="shared" ca="1" si="32"/>
        <v>0.14118279081137516</v>
      </c>
      <c r="I368" s="20">
        <f t="shared" ca="1" si="31"/>
        <v>0.14253694439855649</v>
      </c>
      <c r="J368" s="20">
        <f t="shared" ca="1" si="27"/>
        <v>0.14848197138699723</v>
      </c>
      <c r="K368" s="36">
        <v>15</v>
      </c>
    </row>
    <row r="369" spans="1:11" x14ac:dyDescent="0.25">
      <c r="A369" s="13" t="s">
        <v>7</v>
      </c>
      <c r="B369" s="29">
        <v>44933</v>
      </c>
      <c r="C369" s="20">
        <v>0.14000000000000001</v>
      </c>
      <c r="D369" s="30">
        <f t="shared" ca="1" si="28"/>
        <v>116.31562041965748</v>
      </c>
      <c r="E369" s="31">
        <f>+E368*(1+C368*F369/365)</f>
        <v>116.31562041965748</v>
      </c>
      <c r="F369" s="32">
        <f t="shared" si="29"/>
        <v>1</v>
      </c>
      <c r="G369" s="20">
        <f t="shared" ca="1" si="30"/>
        <v>0.14158510282719289</v>
      </c>
      <c r="H369" s="20">
        <f t="shared" ca="1" si="32"/>
        <v>0.14118279081137516</v>
      </c>
      <c r="I369" s="20">
        <f t="shared" ca="1" si="31"/>
        <v>0.14253756154654357</v>
      </c>
      <c r="J369" s="20">
        <f t="shared" ca="1" si="27"/>
        <v>0.14836361174636606</v>
      </c>
      <c r="K369" s="36">
        <v>15</v>
      </c>
    </row>
    <row r="370" spans="1:11" x14ac:dyDescent="0.25">
      <c r="A370" s="23" t="s">
        <v>6</v>
      </c>
      <c r="B370" s="24">
        <v>44934</v>
      </c>
      <c r="C370" s="28">
        <v>0.14000000000000001</v>
      </c>
      <c r="D370" s="25">
        <f t="shared" ca="1" si="28"/>
        <v>116.36023463022941</v>
      </c>
      <c r="E370" s="26">
        <f>+E369*(1+C369*F370/365)</f>
        <v>116.36023463022941</v>
      </c>
      <c r="F370" s="27">
        <f t="shared" si="29"/>
        <v>1</v>
      </c>
      <c r="G370" s="28">
        <f t="shared" ca="1" si="30"/>
        <v>0.14123509292555347</v>
      </c>
      <c r="H370" s="28">
        <f t="shared" ca="1" si="32"/>
        <v>0.14118460014847603</v>
      </c>
      <c r="I370" s="28">
        <f t="shared" ca="1" si="31"/>
        <v>0.14253879536981345</v>
      </c>
      <c r="J370" s="28">
        <f t="shared" ca="1" si="27"/>
        <v>0.148245675581577</v>
      </c>
      <c r="K370" s="36">
        <v>15</v>
      </c>
    </row>
    <row r="371" spans="1:11" x14ac:dyDescent="0.25">
      <c r="A371" s="13" t="s">
        <v>7</v>
      </c>
      <c r="B371" s="29">
        <v>44935</v>
      </c>
      <c r="C371" s="20">
        <v>0.14000000000000001</v>
      </c>
      <c r="D371" s="30">
        <f t="shared" ca="1" si="28"/>
        <v>116.40484884080132</v>
      </c>
      <c r="E371" s="31">
        <f>+E369*(1+C370*F371/365)</f>
        <v>116.40484884080132</v>
      </c>
      <c r="F371" s="32">
        <f t="shared" si="29"/>
        <v>2</v>
      </c>
      <c r="G371" s="20">
        <f t="shared" ca="1" si="30"/>
        <v>0.14088535599958579</v>
      </c>
      <c r="H371" s="20">
        <f t="shared" ca="1" si="32"/>
        <v>0.14118279081137516</v>
      </c>
      <c r="I371" s="20">
        <f t="shared" ca="1" si="31"/>
        <v>0.14253817822164538</v>
      </c>
      <c r="J371" s="20">
        <f t="shared" ca="1" si="27"/>
        <v>0.14812784258675107</v>
      </c>
      <c r="K371" s="36">
        <v>15</v>
      </c>
    </row>
    <row r="372" spans="1:11" x14ac:dyDescent="0.25">
      <c r="A372" s="13" t="s">
        <v>7</v>
      </c>
      <c r="B372" s="29">
        <v>44936</v>
      </c>
      <c r="C372" s="20">
        <v>0.14000000000000001</v>
      </c>
      <c r="D372" s="30">
        <f t="shared" ca="1" si="28"/>
        <v>116.44949727597314</v>
      </c>
      <c r="E372" s="31">
        <f>+E371*(1+C371*F372/365)</f>
        <v>116.44949727597314</v>
      </c>
      <c r="F372" s="32">
        <f t="shared" si="29"/>
        <v>1</v>
      </c>
      <c r="G372" s="20">
        <f t="shared" ca="1" si="30"/>
        <v>0.14055125786541919</v>
      </c>
      <c r="H372" s="20">
        <f t="shared" ca="1" si="32"/>
        <v>0.14118460014847603</v>
      </c>
      <c r="I372" s="20">
        <f t="shared" ca="1" si="31"/>
        <v>0.14253817822164538</v>
      </c>
      <c r="J372" s="20">
        <f t="shared" ca="1" si="27"/>
        <v>0.1480086671228249</v>
      </c>
      <c r="K372" s="36">
        <v>15</v>
      </c>
    </row>
    <row r="373" spans="1:11" x14ac:dyDescent="0.25">
      <c r="A373" s="13" t="s">
        <v>7</v>
      </c>
      <c r="B373" s="29">
        <v>44937</v>
      </c>
      <c r="C373" s="20">
        <v>0.14000000000000001</v>
      </c>
      <c r="D373" s="30">
        <f t="shared" ca="1" si="28"/>
        <v>116.49416283657216</v>
      </c>
      <c r="E373" s="31">
        <f>+E372*(1+C372*F373/365)</f>
        <v>116.49416283657216</v>
      </c>
      <c r="F373" s="32">
        <f t="shared" si="29"/>
        <v>1</v>
      </c>
      <c r="G373" s="20">
        <f t="shared" ca="1" si="30"/>
        <v>0.14022510605966726</v>
      </c>
      <c r="H373" s="20">
        <f t="shared" ca="1" si="32"/>
        <v>0.14118821743681872</v>
      </c>
      <c r="I373" s="20">
        <f t="shared" ca="1" si="31"/>
        <v>0.14253817822164538</v>
      </c>
      <c r="J373" s="20">
        <f t="shared" ca="1" si="27"/>
        <v>0.14788949818620051</v>
      </c>
      <c r="K373" s="36">
        <v>15</v>
      </c>
    </row>
    <row r="374" spans="1:11" x14ac:dyDescent="0.25">
      <c r="A374" s="13" t="s">
        <v>7</v>
      </c>
      <c r="B374" s="29">
        <v>44938</v>
      </c>
      <c r="C374" s="20">
        <v>0.14000000000000001</v>
      </c>
      <c r="D374" s="30">
        <f t="shared" ca="1" si="28"/>
        <v>116.53884552916702</v>
      </c>
      <c r="E374" s="31">
        <f>+E373*(1+C373*F374/365)</f>
        <v>116.53884552916702</v>
      </c>
      <c r="F374" s="32">
        <f t="shared" si="29"/>
        <v>1</v>
      </c>
      <c r="G374" s="20">
        <f t="shared" ca="1" si="30"/>
        <v>0.14015351295749284</v>
      </c>
      <c r="H374" s="20">
        <f t="shared" ca="1" si="32"/>
        <v>0.14118821743682142</v>
      </c>
      <c r="I374" s="20">
        <f t="shared" ca="1" si="31"/>
        <v>0.14253817822164538</v>
      </c>
      <c r="J374" s="20">
        <f t="shared" ref="J374:J437" ca="1" si="33">($D374/OFFSET($D374,-180,0)-1)*365/180</f>
        <v>0.14777033577651943</v>
      </c>
      <c r="K374" s="36">
        <v>15</v>
      </c>
    </row>
    <row r="375" spans="1:11" x14ac:dyDescent="0.25">
      <c r="A375" s="13" t="s">
        <v>7</v>
      </c>
      <c r="B375" s="29">
        <v>44939</v>
      </c>
      <c r="C375" s="20">
        <v>0.14000000000000001</v>
      </c>
      <c r="D375" s="30">
        <f t="shared" ca="1" si="28"/>
        <v>116.5835453603289</v>
      </c>
      <c r="E375" s="31">
        <f>+E374*(1+C374*F375/365)</f>
        <v>116.5835453603289</v>
      </c>
      <c r="F375" s="32">
        <f t="shared" si="29"/>
        <v>1</v>
      </c>
      <c r="G375" s="20">
        <f t="shared" ca="1" si="30"/>
        <v>0.14015351295749284</v>
      </c>
      <c r="H375" s="20">
        <f t="shared" ca="1" si="32"/>
        <v>0.14118821743681872</v>
      </c>
      <c r="I375" s="20">
        <f t="shared" ca="1" si="31"/>
        <v>0.14253817822164538</v>
      </c>
      <c r="J375" s="20">
        <f t="shared" ca="1" si="33"/>
        <v>0.14765117989342424</v>
      </c>
      <c r="K375" s="36">
        <v>15</v>
      </c>
    </row>
    <row r="376" spans="1:11" x14ac:dyDescent="0.25">
      <c r="A376" s="23" t="s">
        <v>6</v>
      </c>
      <c r="B376" s="24">
        <v>44940</v>
      </c>
      <c r="C376" s="28">
        <v>0.14000000000000001</v>
      </c>
      <c r="D376" s="25">
        <f t="shared" ca="1" si="28"/>
        <v>116.62826233663149</v>
      </c>
      <c r="E376" s="26">
        <f>+E375*(1+C375*F376/365)</f>
        <v>116.62826233663149</v>
      </c>
      <c r="F376" s="27">
        <f t="shared" si="29"/>
        <v>1</v>
      </c>
      <c r="G376" s="28">
        <f t="shared" ca="1" si="30"/>
        <v>0.14015351295749284</v>
      </c>
      <c r="H376" s="28">
        <f t="shared" ca="1" si="32"/>
        <v>0.14118821743681872</v>
      </c>
      <c r="I376" s="28">
        <f t="shared" ca="1" si="31"/>
        <v>0.14253879536981345</v>
      </c>
      <c r="J376" s="28">
        <f t="shared" ca="1" si="33"/>
        <v>0.14753244816952099</v>
      </c>
      <c r="K376" s="36">
        <v>15</v>
      </c>
    </row>
    <row r="377" spans="1:11" x14ac:dyDescent="0.25">
      <c r="A377" s="23" t="s">
        <v>6</v>
      </c>
      <c r="B377" s="24">
        <v>44941</v>
      </c>
      <c r="C377" s="28">
        <v>0.14000000000000001</v>
      </c>
      <c r="D377" s="25">
        <f t="shared" ca="1" si="28"/>
        <v>116.67297931293407</v>
      </c>
      <c r="E377" s="26">
        <f>+E375*(1+C376*F377/365)</f>
        <v>116.67297931293407</v>
      </c>
      <c r="F377" s="27">
        <f t="shared" si="29"/>
        <v>2</v>
      </c>
      <c r="G377" s="28">
        <f t="shared" ca="1" si="30"/>
        <v>0.14014582700249326</v>
      </c>
      <c r="H377" s="28">
        <f t="shared" ca="1" si="32"/>
        <v>0.14118640809918567</v>
      </c>
      <c r="I377" s="28">
        <f t="shared" ca="1" si="31"/>
        <v>0.14253941204509629</v>
      </c>
      <c r="J377" s="28">
        <f t="shared" ca="1" si="33"/>
        <v>0.14741298554789997</v>
      </c>
      <c r="K377" s="36">
        <v>15</v>
      </c>
    </row>
    <row r="378" spans="1:11" x14ac:dyDescent="0.25">
      <c r="A378" s="13" t="s">
        <v>7</v>
      </c>
      <c r="B378" s="29">
        <v>44942</v>
      </c>
      <c r="C378" s="20">
        <v>0.14000000000000001</v>
      </c>
      <c r="D378" s="30">
        <f t="shared" ca="1" si="28"/>
        <v>116.71769628923667</v>
      </c>
      <c r="E378" s="31">
        <f>+E375*(1+C377*F378/365)</f>
        <v>116.71769628923667</v>
      </c>
      <c r="F378" s="32">
        <f t="shared" si="29"/>
        <v>3</v>
      </c>
      <c r="G378" s="20">
        <f t="shared" ca="1" si="30"/>
        <v>0.1401381469390604</v>
      </c>
      <c r="H378" s="20">
        <f t="shared" ca="1" si="32"/>
        <v>0.14118279081137516</v>
      </c>
      <c r="I378" s="20">
        <f t="shared" ca="1" si="31"/>
        <v>0.14253817822164538</v>
      </c>
      <c r="J378" s="20">
        <f t="shared" ca="1" si="33"/>
        <v>0.14729320998177828</v>
      </c>
      <c r="K378" s="36">
        <v>15</v>
      </c>
    </row>
    <row r="379" spans="1:11" x14ac:dyDescent="0.25">
      <c r="A379" s="13" t="s">
        <v>7</v>
      </c>
      <c r="B379" s="29">
        <v>44943</v>
      </c>
      <c r="C379" s="20">
        <v>0.14000000000000001</v>
      </c>
      <c r="D379" s="30">
        <f t="shared" ca="1" si="28"/>
        <v>116.76246472069009</v>
      </c>
      <c r="E379" s="31">
        <f>+E378*(1+C378*F379/365)</f>
        <v>116.76246472069009</v>
      </c>
      <c r="F379" s="32">
        <f t="shared" si="29"/>
        <v>1</v>
      </c>
      <c r="G379" s="20">
        <f t="shared" ca="1" si="30"/>
        <v>0.14013814693907198</v>
      </c>
      <c r="H379" s="20">
        <f t="shared" ca="1" si="32"/>
        <v>0.14118460014847872</v>
      </c>
      <c r="I379" s="20">
        <f t="shared" ca="1" si="31"/>
        <v>0.14253817822164538</v>
      </c>
      <c r="J379" s="20">
        <f t="shared" ca="1" si="33"/>
        <v>0.14718183142753807</v>
      </c>
      <c r="K379" s="36">
        <v>15</v>
      </c>
    </row>
    <row r="380" spans="1:11" x14ac:dyDescent="0.25">
      <c r="A380" s="13" t="s">
        <v>7</v>
      </c>
      <c r="B380" s="29">
        <v>44944</v>
      </c>
      <c r="C380" s="20">
        <v>0.14000000000000001</v>
      </c>
      <c r="D380" s="30">
        <f t="shared" ca="1" si="28"/>
        <v>116.80725032359666</v>
      </c>
      <c r="E380" s="31">
        <f>+E379*(1+C379*F380/365)</f>
        <v>116.80725032359666</v>
      </c>
      <c r="F380" s="32">
        <f t="shared" si="29"/>
        <v>1</v>
      </c>
      <c r="G380" s="20">
        <f t="shared" ca="1" si="30"/>
        <v>0.1401381469390604</v>
      </c>
      <c r="H380" s="20">
        <f t="shared" ca="1" si="32"/>
        <v>0.14118821743682142</v>
      </c>
      <c r="I380" s="20">
        <f t="shared" ca="1" si="31"/>
        <v>0.14253817822164538</v>
      </c>
      <c r="J380" s="20">
        <f t="shared" ca="1" si="33"/>
        <v>0.14706270777712688</v>
      </c>
      <c r="K380" s="36">
        <v>15</v>
      </c>
    </row>
    <row r="381" spans="1:11" x14ac:dyDescent="0.25">
      <c r="A381" s="13" t="s">
        <v>7</v>
      </c>
      <c r="B381" s="29">
        <v>44945</v>
      </c>
      <c r="C381" s="20">
        <v>0.14000000000000001</v>
      </c>
      <c r="D381" s="30">
        <f t="shared" ca="1" si="28"/>
        <v>116.8520531045427</v>
      </c>
      <c r="E381" s="31">
        <f>+E380*(1+C380*F381/365)</f>
        <v>116.8520531045427</v>
      </c>
      <c r="F381" s="32">
        <f t="shared" si="29"/>
        <v>1</v>
      </c>
      <c r="G381" s="20">
        <f t="shared" ca="1" si="30"/>
        <v>0.1401381469390604</v>
      </c>
      <c r="H381" s="20">
        <f t="shared" ca="1" si="32"/>
        <v>0.14118821743682142</v>
      </c>
      <c r="I381" s="20">
        <f t="shared" ca="1" si="31"/>
        <v>0.14253817822164538</v>
      </c>
      <c r="J381" s="20">
        <f t="shared" ca="1" si="33"/>
        <v>0.14700314758308214</v>
      </c>
      <c r="K381" s="36">
        <v>15</v>
      </c>
    </row>
    <row r="382" spans="1:11" x14ac:dyDescent="0.25">
      <c r="A382" s="13" t="s">
        <v>7</v>
      </c>
      <c r="B382" s="29">
        <v>44946</v>
      </c>
      <c r="C382" s="20">
        <v>0.14000000000000001</v>
      </c>
      <c r="D382" s="30">
        <f t="shared" ca="1" si="28"/>
        <v>116.89687307011705</v>
      </c>
      <c r="E382" s="31">
        <f>+E381*(1+C381*F382/365)</f>
        <v>116.89687307011705</v>
      </c>
      <c r="F382" s="32">
        <f t="shared" si="29"/>
        <v>1</v>
      </c>
      <c r="G382" s="20">
        <f t="shared" ca="1" si="30"/>
        <v>0.1401381469390604</v>
      </c>
      <c r="H382" s="20">
        <f t="shared" ca="1" si="32"/>
        <v>0.14118821743682142</v>
      </c>
      <c r="I382" s="20">
        <f t="shared" ca="1" si="31"/>
        <v>0.14253817822164538</v>
      </c>
      <c r="J382" s="20">
        <f t="shared" ca="1" si="33"/>
        <v>0.14694395600117247</v>
      </c>
      <c r="K382" s="36">
        <v>15</v>
      </c>
    </row>
    <row r="383" spans="1:11" x14ac:dyDescent="0.25">
      <c r="A383" s="23" t="s">
        <v>6</v>
      </c>
      <c r="B383" s="24">
        <v>44947</v>
      </c>
      <c r="C383" s="28">
        <v>0.14000000000000001</v>
      </c>
      <c r="D383" s="25">
        <f t="shared" ca="1" si="28"/>
        <v>116.94171022691108</v>
      </c>
      <c r="E383" s="26">
        <f>+E382*(1+C382*F383/365)</f>
        <v>116.94171022691108</v>
      </c>
      <c r="F383" s="27">
        <f t="shared" si="29"/>
        <v>1</v>
      </c>
      <c r="G383" s="28">
        <f t="shared" ca="1" si="30"/>
        <v>0.1401381469390604</v>
      </c>
      <c r="H383" s="28">
        <f t="shared" ca="1" si="32"/>
        <v>0.14118821743682142</v>
      </c>
      <c r="I383" s="28">
        <f t="shared" ca="1" si="31"/>
        <v>0.14253879536981345</v>
      </c>
      <c r="J383" s="28">
        <f t="shared" ca="1" si="33"/>
        <v>0.14688513270007839</v>
      </c>
      <c r="K383" s="36">
        <v>15</v>
      </c>
    </row>
    <row r="384" spans="1:11" x14ac:dyDescent="0.25">
      <c r="A384" s="23" t="s">
        <v>6</v>
      </c>
      <c r="B384" s="24">
        <v>44948</v>
      </c>
      <c r="C384" s="28">
        <v>0.14000000000000001</v>
      </c>
      <c r="D384" s="25">
        <f t="shared" ca="1" si="28"/>
        <v>116.98654738370507</v>
      </c>
      <c r="E384" s="26">
        <f>+E382*(1+C383*F384/365)</f>
        <v>116.98654738370507</v>
      </c>
      <c r="F384" s="27">
        <f t="shared" si="29"/>
        <v>2</v>
      </c>
      <c r="G384" s="28">
        <f t="shared" ca="1" si="30"/>
        <v>0.1401381469390604</v>
      </c>
      <c r="H384" s="28">
        <f t="shared" ca="1" si="32"/>
        <v>0.14118640809918567</v>
      </c>
      <c r="I384" s="28">
        <f t="shared" ca="1" si="31"/>
        <v>0.1425394120450954</v>
      </c>
      <c r="J384" s="28">
        <f t="shared" ca="1" si="33"/>
        <v>0.14682525768775331</v>
      </c>
      <c r="K384" s="36">
        <v>15</v>
      </c>
    </row>
    <row r="385" spans="1:11" x14ac:dyDescent="0.25">
      <c r="A385" s="13" t="s">
        <v>7</v>
      </c>
      <c r="B385" s="29">
        <v>44949</v>
      </c>
      <c r="C385" s="20">
        <v>0.14000000000000001</v>
      </c>
      <c r="D385" s="30">
        <f t="shared" ca="1" si="28"/>
        <v>117.0313845404991</v>
      </c>
      <c r="E385" s="31">
        <f>+E382*(1+C384*F385/365)</f>
        <v>117.0313845404991</v>
      </c>
      <c r="F385" s="32">
        <f t="shared" si="29"/>
        <v>3</v>
      </c>
      <c r="G385" s="20">
        <f t="shared" ca="1" si="30"/>
        <v>0.1401381469390604</v>
      </c>
      <c r="H385" s="20">
        <f t="shared" ca="1" si="32"/>
        <v>0.14118279081137516</v>
      </c>
      <c r="I385" s="20">
        <f t="shared" ca="1" si="31"/>
        <v>0.14253817822164538</v>
      </c>
      <c r="J385" s="20">
        <f t="shared" ca="1" si="33"/>
        <v>0.14676506489645841</v>
      </c>
      <c r="K385" s="36">
        <v>15</v>
      </c>
    </row>
    <row r="386" spans="1:11" x14ac:dyDescent="0.25">
      <c r="A386" s="13" t="s">
        <v>7</v>
      </c>
      <c r="B386" s="29">
        <v>44950</v>
      </c>
      <c r="C386" s="20">
        <v>0.14000000000000001</v>
      </c>
      <c r="D386" s="30">
        <f t="shared" ca="1" si="28"/>
        <v>117.07627329073382</v>
      </c>
      <c r="E386" s="31">
        <f>+E385*(1+C385*F386/365)</f>
        <v>117.07627329073382</v>
      </c>
      <c r="F386" s="32">
        <f t="shared" si="29"/>
        <v>1</v>
      </c>
      <c r="G386" s="20">
        <f t="shared" ca="1" si="30"/>
        <v>0.1401381469390604</v>
      </c>
      <c r="H386" s="20">
        <f t="shared" ca="1" si="32"/>
        <v>0.14118460014847872</v>
      </c>
      <c r="I386" s="20">
        <f t="shared" ca="1" si="31"/>
        <v>0.14253817822164538</v>
      </c>
      <c r="J386" s="20">
        <f t="shared" ca="1" si="33"/>
        <v>0.14670551285366315</v>
      </c>
      <c r="K386" s="36">
        <v>15</v>
      </c>
    </row>
    <row r="387" spans="1:11" x14ac:dyDescent="0.25">
      <c r="A387" s="13" t="s">
        <v>7</v>
      </c>
      <c r="B387" s="29">
        <v>44951</v>
      </c>
      <c r="C387" s="20">
        <v>0.14000000000000001</v>
      </c>
      <c r="D387" s="30">
        <f t="shared" ref="D387:D450" ca="1" si="34">+IF(F387=1,D386*(1+C386*F387/365),OFFSET(D386,-F387+1,0)*(1+C386*F387/365))</f>
        <v>117.12117925857137</v>
      </c>
      <c r="E387" s="31">
        <f>+E386*(1+C386*F387/365)</f>
        <v>117.12117925857137</v>
      </c>
      <c r="F387" s="32">
        <f t="shared" si="29"/>
        <v>1</v>
      </c>
      <c r="G387" s="20">
        <f t="shared" ca="1" si="30"/>
        <v>0.1401381469390604</v>
      </c>
      <c r="H387" s="20">
        <f t="shared" ca="1" si="32"/>
        <v>0.14118821743682142</v>
      </c>
      <c r="I387" s="20">
        <f t="shared" ca="1" si="31"/>
        <v>0.14253817822164538</v>
      </c>
      <c r="J387" s="20">
        <f t="shared" ca="1" si="33"/>
        <v>0.14664596244175998</v>
      </c>
      <c r="K387" s="36">
        <v>15</v>
      </c>
    </row>
    <row r="388" spans="1:11" x14ac:dyDescent="0.25">
      <c r="A388" s="13" t="s">
        <v>7</v>
      </c>
      <c r="B388" s="29">
        <v>44952</v>
      </c>
      <c r="C388" s="20">
        <v>0.14000000000000001</v>
      </c>
      <c r="D388" s="30">
        <f t="shared" ca="1" si="34"/>
        <v>117.16610245061577</v>
      </c>
      <c r="E388" s="31">
        <f>+E387*(1+C387*F388/365)</f>
        <v>117.16610245061577</v>
      </c>
      <c r="F388" s="32">
        <f t="shared" si="29"/>
        <v>1</v>
      </c>
      <c r="G388" s="20">
        <f t="shared" ca="1" si="30"/>
        <v>0.1401381469390604</v>
      </c>
      <c r="H388" s="20">
        <f t="shared" ca="1" si="32"/>
        <v>0.14118821743681872</v>
      </c>
      <c r="I388" s="20">
        <f t="shared" ca="1" si="31"/>
        <v>0.14253817822164538</v>
      </c>
      <c r="J388" s="20">
        <f t="shared" ca="1" si="33"/>
        <v>0.14658641366070474</v>
      </c>
      <c r="K388" s="36">
        <v>15</v>
      </c>
    </row>
    <row r="389" spans="1:11" x14ac:dyDescent="0.25">
      <c r="A389" s="13" t="s">
        <v>7</v>
      </c>
      <c r="B389" s="29">
        <v>44953</v>
      </c>
      <c r="C389" s="20">
        <v>0.14000000000000001</v>
      </c>
      <c r="D389" s="30">
        <f t="shared" ca="1" si="34"/>
        <v>117.21104287347355</v>
      </c>
      <c r="E389" s="31">
        <f>+E388*(1+C388*F389/365)</f>
        <v>117.21104287347355</v>
      </c>
      <c r="F389" s="32">
        <f t="shared" si="29"/>
        <v>1</v>
      </c>
      <c r="G389" s="20">
        <f t="shared" ca="1" si="30"/>
        <v>0.1401381469390604</v>
      </c>
      <c r="H389" s="20">
        <f t="shared" ca="1" si="32"/>
        <v>0.14118821743682142</v>
      </c>
      <c r="I389" s="20">
        <f t="shared" ca="1" si="31"/>
        <v>0.14253817822164538</v>
      </c>
      <c r="J389" s="20">
        <f t="shared" ca="1" si="33"/>
        <v>0.14652723342115226</v>
      </c>
      <c r="K389" s="36">
        <v>15</v>
      </c>
    </row>
    <row r="390" spans="1:11" x14ac:dyDescent="0.25">
      <c r="A390" s="23" t="s">
        <v>6</v>
      </c>
      <c r="B390" s="24">
        <v>44954</v>
      </c>
      <c r="C390" s="28">
        <v>0.14000000000000001</v>
      </c>
      <c r="D390" s="25">
        <f t="shared" ca="1" si="34"/>
        <v>117.25600053375379</v>
      </c>
      <c r="E390" s="26">
        <f>+E389*(1+C389*F390/365)</f>
        <v>117.25600053375379</v>
      </c>
      <c r="F390" s="27">
        <f t="shared" si="29"/>
        <v>1</v>
      </c>
      <c r="G390" s="28">
        <f t="shared" ca="1" si="30"/>
        <v>0.1401381469390604</v>
      </c>
      <c r="H390" s="28">
        <f t="shared" ca="1" si="32"/>
        <v>0.14118821743681872</v>
      </c>
      <c r="I390" s="28">
        <f t="shared" ca="1" si="31"/>
        <v>0.14253879536981434</v>
      </c>
      <c r="J390" s="28">
        <f t="shared" ca="1" si="33"/>
        <v>0.14646842139184391</v>
      </c>
      <c r="K390" s="36">
        <v>15</v>
      </c>
    </row>
    <row r="391" spans="1:11" x14ac:dyDescent="0.25">
      <c r="A391" s="23" t="s">
        <v>6</v>
      </c>
      <c r="B391" s="24">
        <v>44955</v>
      </c>
      <c r="C391" s="28">
        <v>0.14000000000000001</v>
      </c>
      <c r="D391" s="25">
        <f t="shared" ca="1" si="34"/>
        <v>117.30095819403401</v>
      </c>
      <c r="E391" s="26">
        <f>+E389*(1+C390*F391/365)</f>
        <v>117.30095819403401</v>
      </c>
      <c r="F391" s="27">
        <f t="shared" ref="F391:F454" si="35">IF(A390="Working day",1,(IF(A389="Working day",2,(IF(A388="Working day",3,IF(A387="Working day",4,IF(A386="Working day",5,6)))))))</f>
        <v>2</v>
      </c>
      <c r="G391" s="28">
        <f t="shared" ca="1" si="30"/>
        <v>0.14013814693907198</v>
      </c>
      <c r="H391" s="28">
        <f t="shared" ca="1" si="32"/>
        <v>0.14118640809918567</v>
      </c>
      <c r="I391" s="28">
        <f t="shared" ca="1" si="31"/>
        <v>0.14253941204509629</v>
      </c>
      <c r="J391" s="28">
        <f t="shared" ca="1" si="33"/>
        <v>0.14640855785283469</v>
      </c>
      <c r="K391" s="36">
        <v>15</v>
      </c>
    </row>
    <row r="392" spans="1:11" x14ac:dyDescent="0.25">
      <c r="A392" s="13" t="s">
        <v>7</v>
      </c>
      <c r="B392" s="29">
        <v>44956</v>
      </c>
      <c r="C392" s="20">
        <v>0.14000000000000001</v>
      </c>
      <c r="D392" s="30">
        <f t="shared" ca="1" si="34"/>
        <v>117.34591585431426</v>
      </c>
      <c r="E392" s="31">
        <f>+E389*(1+C391*F392/365)</f>
        <v>117.34591585431426</v>
      </c>
      <c r="F392" s="32">
        <f t="shared" si="35"/>
        <v>3</v>
      </c>
      <c r="G392" s="20">
        <f t="shared" ca="1" si="30"/>
        <v>0.1401381469390604</v>
      </c>
      <c r="H392" s="20">
        <f t="shared" ca="1" si="32"/>
        <v>0.14109852337155793</v>
      </c>
      <c r="I392" s="20">
        <f t="shared" ca="1" si="31"/>
        <v>0.14253817822164538</v>
      </c>
      <c r="J392" s="20">
        <f t="shared" ca="1" si="33"/>
        <v>0.14634837659574881</v>
      </c>
      <c r="K392" s="36">
        <v>15</v>
      </c>
    </row>
    <row r="393" spans="1:11" x14ac:dyDescent="0.25">
      <c r="A393" s="13" t="s">
        <v>7</v>
      </c>
      <c r="B393" s="29">
        <v>44957</v>
      </c>
      <c r="C393" s="20">
        <v>0.14000000000000001</v>
      </c>
      <c r="D393" s="30">
        <f t="shared" ca="1" si="34"/>
        <v>117.39092524669674</v>
      </c>
      <c r="E393" s="31">
        <f>+E392*(1+C392*F393/365)</f>
        <v>117.39092524669674</v>
      </c>
      <c r="F393" s="32">
        <f t="shared" si="35"/>
        <v>1</v>
      </c>
      <c r="G393" s="20">
        <f t="shared" ref="G393:G456" ca="1" si="36">(D393/OFFSET(D393,-7,0)-1)*365/7</f>
        <v>0.1401381469390604</v>
      </c>
      <c r="H393" s="20">
        <f t="shared" ca="1" si="32"/>
        <v>0.14101613099060251</v>
      </c>
      <c r="I393" s="20">
        <f t="shared" ca="1" si="31"/>
        <v>0.14253817822164538</v>
      </c>
      <c r="J393" s="20">
        <f t="shared" ca="1" si="33"/>
        <v>0.14631410449193524</v>
      </c>
      <c r="K393" s="36">
        <v>15</v>
      </c>
    </row>
    <row r="394" spans="1:11" x14ac:dyDescent="0.25">
      <c r="A394" s="13" t="s">
        <v>7</v>
      </c>
      <c r="B394" s="29">
        <v>44958</v>
      </c>
      <c r="C394" s="20">
        <v>0.14000000000000001</v>
      </c>
      <c r="D394" s="30">
        <f t="shared" ca="1" si="34"/>
        <v>117.43595190295575</v>
      </c>
      <c r="E394" s="31">
        <f>+E393*(1+C393*F394/365)</f>
        <v>117.43595190295575</v>
      </c>
      <c r="F394" s="32">
        <f t="shared" si="35"/>
        <v>1</v>
      </c>
      <c r="G394" s="20">
        <f t="shared" ca="1" si="36"/>
        <v>0.1401381469390604</v>
      </c>
      <c r="H394" s="20">
        <f t="shared" ca="1" si="32"/>
        <v>0.14093561216865561</v>
      </c>
      <c r="I394" s="20">
        <f t="shared" ca="1" si="31"/>
        <v>0.14253817822164538</v>
      </c>
      <c r="J394" s="20">
        <f t="shared" ca="1" si="33"/>
        <v>0.14628433423789541</v>
      </c>
      <c r="K394" s="36">
        <v>15</v>
      </c>
    </row>
    <row r="395" spans="1:11" x14ac:dyDescent="0.25">
      <c r="A395" s="13" t="s">
        <v>7</v>
      </c>
      <c r="B395" s="29">
        <v>44959</v>
      </c>
      <c r="C395" s="20">
        <v>0.14000000000000001</v>
      </c>
      <c r="D395" s="30">
        <f t="shared" ca="1" si="34"/>
        <v>117.48099582971305</v>
      </c>
      <c r="E395" s="31">
        <f>+E394*(1+C394*F395/365)</f>
        <v>117.48099582971305</v>
      </c>
      <c r="F395" s="32">
        <f t="shared" si="35"/>
        <v>1</v>
      </c>
      <c r="G395" s="20">
        <f t="shared" ca="1" si="36"/>
        <v>0.1401381469390604</v>
      </c>
      <c r="H395" s="20">
        <f t="shared" ca="1" si="32"/>
        <v>0.14085696540847908</v>
      </c>
      <c r="I395" s="20">
        <f t="shared" ca="1" si="31"/>
        <v>0.14253817822164538</v>
      </c>
      <c r="J395" s="20">
        <f t="shared" ca="1" si="33"/>
        <v>0.1462545643915058</v>
      </c>
      <c r="K395" s="36">
        <v>15</v>
      </c>
    </row>
    <row r="396" spans="1:11" x14ac:dyDescent="0.25">
      <c r="A396" s="13" t="s">
        <v>7</v>
      </c>
      <c r="B396" s="29">
        <v>44960</v>
      </c>
      <c r="C396" s="20">
        <v>0.14000000000000001</v>
      </c>
      <c r="D396" s="30">
        <f t="shared" ca="1" si="34"/>
        <v>117.52605703359295</v>
      </c>
      <c r="E396" s="31">
        <f>+E395*(1+C395*F396/365)</f>
        <v>117.52605703359295</v>
      </c>
      <c r="F396" s="32">
        <f t="shared" si="35"/>
        <v>1</v>
      </c>
      <c r="G396" s="20">
        <f t="shared" ca="1" si="36"/>
        <v>0.1401381469390604</v>
      </c>
      <c r="H396" s="20">
        <f t="shared" ca="1" si="32"/>
        <v>0.14078018921542546</v>
      </c>
      <c r="I396" s="20">
        <f t="shared" ca="1" si="31"/>
        <v>0.14253817822164538</v>
      </c>
      <c r="J396" s="20">
        <f t="shared" ca="1" si="33"/>
        <v>0.14622513777217561</v>
      </c>
      <c r="K396" s="36">
        <v>15</v>
      </c>
    </row>
    <row r="397" spans="1:11" x14ac:dyDescent="0.25">
      <c r="A397" s="23" t="s">
        <v>6</v>
      </c>
      <c r="B397" s="24">
        <v>44961</v>
      </c>
      <c r="C397" s="28">
        <v>0.14000000000000001</v>
      </c>
      <c r="D397" s="25">
        <f t="shared" ca="1" si="34"/>
        <v>117.57113552122227</v>
      </c>
      <c r="E397" s="26">
        <f>+E396*(1+C396*F397/365)</f>
        <v>117.57113552122227</v>
      </c>
      <c r="F397" s="27">
        <f t="shared" si="35"/>
        <v>1</v>
      </c>
      <c r="G397" s="28">
        <f t="shared" ca="1" si="36"/>
        <v>0.1401381469390604</v>
      </c>
      <c r="H397" s="28">
        <f t="shared" ca="1" si="32"/>
        <v>0.14076333618644549</v>
      </c>
      <c r="I397" s="28">
        <f t="shared" ca="1" si="31"/>
        <v>0.14253879536981345</v>
      </c>
      <c r="J397" s="28">
        <f t="shared" ca="1" si="33"/>
        <v>0.14619605409387584</v>
      </c>
      <c r="K397" s="36">
        <v>15</v>
      </c>
    </row>
    <row r="398" spans="1:11" x14ac:dyDescent="0.25">
      <c r="A398" s="23" t="s">
        <v>6</v>
      </c>
      <c r="B398" s="24">
        <v>44962</v>
      </c>
      <c r="C398" s="28">
        <v>0.14000000000000001</v>
      </c>
      <c r="D398" s="25">
        <f t="shared" ca="1" si="34"/>
        <v>117.61621400885159</v>
      </c>
      <c r="E398" s="26">
        <f>+E396*(1+C397*F398/365)</f>
        <v>117.61621400885159</v>
      </c>
      <c r="F398" s="27">
        <f t="shared" si="35"/>
        <v>2</v>
      </c>
      <c r="G398" s="28">
        <f t="shared" ca="1" si="36"/>
        <v>0.1401381469390604</v>
      </c>
      <c r="H398" s="28">
        <f t="shared" ca="1" si="32"/>
        <v>0.14076152691127206</v>
      </c>
      <c r="I398" s="28">
        <f t="shared" ca="1" si="31"/>
        <v>0.14253941204509629</v>
      </c>
      <c r="J398" s="28">
        <f t="shared" ca="1" si="33"/>
        <v>0.14616596587189143</v>
      </c>
      <c r="K398" s="36">
        <v>15</v>
      </c>
    </row>
    <row r="399" spans="1:11" x14ac:dyDescent="0.25">
      <c r="A399" s="13" t="s">
        <v>7</v>
      </c>
      <c r="B399" s="29">
        <v>44963</v>
      </c>
      <c r="C399" s="20">
        <v>0.14000000000000001</v>
      </c>
      <c r="D399" s="30">
        <f t="shared" ca="1" si="34"/>
        <v>117.66129249648091</v>
      </c>
      <c r="E399" s="31">
        <f>+E396*(1+C398*F399/365)</f>
        <v>117.66129249648091</v>
      </c>
      <c r="F399" s="32">
        <f t="shared" si="35"/>
        <v>3</v>
      </c>
      <c r="G399" s="20">
        <f t="shared" ca="1" si="36"/>
        <v>0.1401381469390604</v>
      </c>
      <c r="H399" s="20">
        <f t="shared" ca="1" si="32"/>
        <v>0.14075790974833499</v>
      </c>
      <c r="I399" s="20">
        <f t="shared" ca="1" si="31"/>
        <v>0.1425381782216445</v>
      </c>
      <c r="J399" s="20">
        <f t="shared" ca="1" si="33"/>
        <v>0.14613555873129547</v>
      </c>
      <c r="K399" s="36">
        <v>15</v>
      </c>
    </row>
    <row r="400" spans="1:11" x14ac:dyDescent="0.25">
      <c r="A400" s="13" t="s">
        <v>7</v>
      </c>
      <c r="B400" s="29">
        <v>44964</v>
      </c>
      <c r="C400" s="20">
        <v>0.14000000000000001</v>
      </c>
      <c r="D400" s="30">
        <f t="shared" ca="1" si="34"/>
        <v>117.70642285524669</v>
      </c>
      <c r="E400" s="31">
        <f>+E399*(1+C399*F400/365)</f>
        <v>117.70642285524669</v>
      </c>
      <c r="F400" s="32">
        <f t="shared" si="35"/>
        <v>1</v>
      </c>
      <c r="G400" s="20">
        <f t="shared" ca="1" si="36"/>
        <v>0.14013814693904883</v>
      </c>
      <c r="H400" s="20">
        <f t="shared" ca="1" si="32"/>
        <v>0.14075790974833499</v>
      </c>
      <c r="I400" s="20">
        <f t="shared" ca="1" si="31"/>
        <v>0.1425381782216445</v>
      </c>
      <c r="J400" s="20">
        <f t="shared" ca="1" si="33"/>
        <v>0.14610579092211667</v>
      </c>
      <c r="K400" s="36">
        <v>15</v>
      </c>
    </row>
    <row r="401" spans="1:11" x14ac:dyDescent="0.25">
      <c r="A401" s="13" t="s">
        <v>7</v>
      </c>
      <c r="B401" s="29">
        <v>44965</v>
      </c>
      <c r="C401" s="20">
        <v>0.14000000000000001</v>
      </c>
      <c r="D401" s="30">
        <f t="shared" ca="1" si="34"/>
        <v>117.75157052428706</v>
      </c>
      <c r="E401" s="31">
        <f>+E400*(1+C400*F401/365)</f>
        <v>117.75157052428706</v>
      </c>
      <c r="F401" s="32">
        <f t="shared" si="35"/>
        <v>1</v>
      </c>
      <c r="G401" s="20">
        <f t="shared" ca="1" si="36"/>
        <v>0.14013814693904883</v>
      </c>
      <c r="H401" s="20">
        <f t="shared" ca="1" si="32"/>
        <v>0.14075971902297618</v>
      </c>
      <c r="I401" s="20">
        <f t="shared" ca="1" si="31"/>
        <v>0.1425381782216445</v>
      </c>
      <c r="J401" s="20">
        <f t="shared" ca="1" si="33"/>
        <v>0.14607602352055429</v>
      </c>
      <c r="K401" s="36">
        <v>15</v>
      </c>
    </row>
    <row r="402" spans="1:11" x14ac:dyDescent="0.25">
      <c r="A402" s="13" t="s">
        <v>7</v>
      </c>
      <c r="B402" s="29">
        <v>44966</v>
      </c>
      <c r="C402" s="20">
        <v>0.14000000000000001</v>
      </c>
      <c r="D402" s="30">
        <f t="shared" ca="1" si="34"/>
        <v>117.79673551024159</v>
      </c>
      <c r="E402" s="31">
        <f>+E401*(1+C401*F402/365)</f>
        <v>117.79673551024159</v>
      </c>
      <c r="F402" s="32">
        <f t="shared" si="35"/>
        <v>1</v>
      </c>
      <c r="G402" s="20">
        <f t="shared" ca="1" si="36"/>
        <v>0.1401381469390604</v>
      </c>
      <c r="H402" s="20">
        <f t="shared" ca="1" si="32"/>
        <v>0.14075971902297618</v>
      </c>
      <c r="I402" s="20">
        <f t="shared" ca="1" si="31"/>
        <v>0.1425381782216445</v>
      </c>
      <c r="J402" s="20">
        <f t="shared" ca="1" si="33"/>
        <v>0.14604625652660291</v>
      </c>
      <c r="K402" s="36">
        <v>15</v>
      </c>
    </row>
    <row r="403" spans="1:11" x14ac:dyDescent="0.25">
      <c r="A403" s="13" t="s">
        <v>7</v>
      </c>
      <c r="B403" s="29">
        <v>44967</v>
      </c>
      <c r="C403" s="20">
        <v>0.14000000000000001</v>
      </c>
      <c r="D403" s="30">
        <f t="shared" ca="1" si="34"/>
        <v>117.84191781975238</v>
      </c>
      <c r="E403" s="31">
        <f>+E402*(1+C402*F403/365)</f>
        <v>117.84191781975238</v>
      </c>
      <c r="F403" s="32">
        <f t="shared" si="35"/>
        <v>1</v>
      </c>
      <c r="G403" s="20">
        <f t="shared" ca="1" si="36"/>
        <v>0.1401381469390604</v>
      </c>
      <c r="H403" s="20">
        <f t="shared" ca="1" si="32"/>
        <v>0.14075971902297618</v>
      </c>
      <c r="I403" s="20">
        <f t="shared" ca="1" si="31"/>
        <v>0.14253817822164538</v>
      </c>
      <c r="J403" s="20">
        <f t="shared" ca="1" si="33"/>
        <v>0.14601683272682464</v>
      </c>
      <c r="K403" s="36">
        <v>15</v>
      </c>
    </row>
    <row r="404" spans="1:11" x14ac:dyDescent="0.25">
      <c r="A404" s="23" t="s">
        <v>6</v>
      </c>
      <c r="B404" s="24">
        <v>44968</v>
      </c>
      <c r="C404" s="28">
        <v>0.14000000000000001</v>
      </c>
      <c r="D404" s="25">
        <f t="shared" ca="1" si="34"/>
        <v>117.88711745946408</v>
      </c>
      <c r="E404" s="26">
        <f>+E403*(1+C403*F404/365)</f>
        <v>117.88711745946408</v>
      </c>
      <c r="F404" s="27">
        <f t="shared" si="35"/>
        <v>1</v>
      </c>
      <c r="G404" s="28">
        <f t="shared" ca="1" si="36"/>
        <v>0.1401381469390604</v>
      </c>
      <c r="H404" s="28">
        <f t="shared" ca="1" si="32"/>
        <v>0.14075971902297618</v>
      </c>
      <c r="I404" s="28">
        <f t="shared" ca="1" si="31"/>
        <v>0.14253879536981345</v>
      </c>
      <c r="J404" s="28">
        <f t="shared" ca="1" si="33"/>
        <v>0.14598775183521751</v>
      </c>
      <c r="K404" s="36">
        <v>15</v>
      </c>
    </row>
    <row r="405" spans="1:11" x14ac:dyDescent="0.25">
      <c r="A405" s="23" t="s">
        <v>6</v>
      </c>
      <c r="B405" s="24">
        <v>44969</v>
      </c>
      <c r="C405" s="28">
        <v>0.14000000000000001</v>
      </c>
      <c r="D405" s="25">
        <f t="shared" ca="1" si="34"/>
        <v>117.93231709917575</v>
      </c>
      <c r="E405" s="26">
        <f>+E403*(1+C404*F405/365)</f>
        <v>117.93231709917575</v>
      </c>
      <c r="F405" s="27">
        <f t="shared" si="35"/>
        <v>2</v>
      </c>
      <c r="G405" s="28">
        <f t="shared" ca="1" si="36"/>
        <v>0.1401381469390604</v>
      </c>
      <c r="H405" s="28">
        <f t="shared" ca="1" si="32"/>
        <v>0.14075790974833499</v>
      </c>
      <c r="I405" s="28">
        <f t="shared" ca="1" si="31"/>
        <v>0.14253941204509629</v>
      </c>
      <c r="J405" s="28">
        <f t="shared" ca="1" si="33"/>
        <v>0.14595766649617675</v>
      </c>
      <c r="K405" s="36">
        <v>15</v>
      </c>
    </row>
    <row r="406" spans="1:11" x14ac:dyDescent="0.25">
      <c r="A406" s="13" t="s">
        <v>7</v>
      </c>
      <c r="B406" s="29">
        <v>44970</v>
      </c>
      <c r="C406" s="20">
        <v>0.14000000000000001</v>
      </c>
      <c r="D406" s="30">
        <f t="shared" ca="1" si="34"/>
        <v>117.97751673888743</v>
      </c>
      <c r="E406" s="31">
        <f>+E403*(1+C405*F406/365)</f>
        <v>117.97751673888743</v>
      </c>
      <c r="F406" s="32">
        <f t="shared" si="35"/>
        <v>3</v>
      </c>
      <c r="G406" s="20">
        <f t="shared" ca="1" si="36"/>
        <v>0.1401381469390604</v>
      </c>
      <c r="H406" s="20">
        <f t="shared" ca="1" si="32"/>
        <v>0.14075429258645961</v>
      </c>
      <c r="I406" s="20">
        <f t="shared" ca="1" si="31"/>
        <v>0.1425381782216445</v>
      </c>
      <c r="J406" s="20">
        <f t="shared" ca="1" si="33"/>
        <v>0.14592726226908198</v>
      </c>
      <c r="K406" s="36">
        <v>15</v>
      </c>
    </row>
    <row r="407" spans="1:11" x14ac:dyDescent="0.25">
      <c r="A407" s="13" t="s">
        <v>7</v>
      </c>
      <c r="B407" s="29">
        <v>44971</v>
      </c>
      <c r="C407" s="20">
        <v>0.14000000000000001</v>
      </c>
      <c r="D407" s="30">
        <f t="shared" ca="1" si="34"/>
        <v>118.02276838914345</v>
      </c>
      <c r="E407" s="31">
        <f>+E406*(1+C406*F407/365)</f>
        <v>118.02276838914345</v>
      </c>
      <c r="F407" s="32">
        <f t="shared" si="35"/>
        <v>1</v>
      </c>
      <c r="G407" s="20">
        <f t="shared" ca="1" si="36"/>
        <v>0.1401381469390604</v>
      </c>
      <c r="H407" s="20">
        <f t="shared" ca="1" si="32"/>
        <v>0.14075610186056856</v>
      </c>
      <c r="I407" s="20">
        <f t="shared" ca="1" si="31"/>
        <v>0.14253817822164538</v>
      </c>
      <c r="J407" s="20">
        <f t="shared" ca="1" si="33"/>
        <v>0.14589749731214649</v>
      </c>
      <c r="K407" s="36">
        <v>15</v>
      </c>
    </row>
    <row r="408" spans="1:11" x14ac:dyDescent="0.25">
      <c r="A408" s="13" t="s">
        <v>7</v>
      </c>
      <c r="B408" s="29">
        <v>44972</v>
      </c>
      <c r="C408" s="20">
        <v>0.14000000000000001</v>
      </c>
      <c r="D408" s="30">
        <f t="shared" ca="1" si="34"/>
        <v>118.06803739619683</v>
      </c>
      <c r="E408" s="31">
        <f>+E407*(1+C407*F408/365)</f>
        <v>118.06803739619683</v>
      </c>
      <c r="F408" s="32">
        <f t="shared" si="35"/>
        <v>1</v>
      </c>
      <c r="G408" s="20">
        <f t="shared" ca="1" si="36"/>
        <v>0.1401381469390604</v>
      </c>
      <c r="H408" s="20">
        <f t="shared" ca="1" si="32"/>
        <v>0.14075971902297618</v>
      </c>
      <c r="I408" s="20">
        <f t="shared" ca="1" si="31"/>
        <v>0.14253817822164538</v>
      </c>
      <c r="J408" s="20">
        <f t="shared" ca="1" si="33"/>
        <v>0.14586773276278822</v>
      </c>
      <c r="K408" s="36">
        <v>15</v>
      </c>
    </row>
    <row r="409" spans="1:11" x14ac:dyDescent="0.25">
      <c r="A409" s="13" t="s">
        <v>7</v>
      </c>
      <c r="B409" s="29">
        <v>44973</v>
      </c>
      <c r="C409" s="20">
        <v>0.14000000000000001</v>
      </c>
      <c r="D409" s="30">
        <f t="shared" ca="1" si="34"/>
        <v>118.11332376670497</v>
      </c>
      <c r="E409" s="31">
        <f>+E408*(1+C408*F409/365)</f>
        <v>118.11332376670497</v>
      </c>
      <c r="F409" s="32">
        <f t="shared" si="35"/>
        <v>1</v>
      </c>
      <c r="G409" s="20">
        <f t="shared" ca="1" si="36"/>
        <v>0.1401381469390604</v>
      </c>
      <c r="H409" s="20">
        <f t="shared" ca="1" si="32"/>
        <v>0.14075971902297343</v>
      </c>
      <c r="I409" s="20">
        <f t="shared" ca="1" si="31"/>
        <v>0.14253817822164538</v>
      </c>
      <c r="J409" s="20">
        <f t="shared" ca="1" si="33"/>
        <v>0.14583796862100182</v>
      </c>
      <c r="K409" s="36">
        <v>15</v>
      </c>
    </row>
    <row r="410" spans="1:11" x14ac:dyDescent="0.25">
      <c r="A410" s="13" t="s">
        <v>7</v>
      </c>
      <c r="B410" s="29">
        <v>44974</v>
      </c>
      <c r="C410" s="20">
        <v>0.14000000000000001</v>
      </c>
      <c r="D410" s="30">
        <f t="shared" ca="1" si="34"/>
        <v>118.15862750732782</v>
      </c>
      <c r="E410" s="31">
        <f>+E409*(1+C409*F410/365)</f>
        <v>118.15862750732782</v>
      </c>
      <c r="F410" s="32">
        <f t="shared" si="35"/>
        <v>1</v>
      </c>
      <c r="G410" s="20">
        <f t="shared" ca="1" si="36"/>
        <v>0.1401381469390604</v>
      </c>
      <c r="H410" s="20">
        <f t="shared" ca="1" si="32"/>
        <v>0.14075971902297618</v>
      </c>
      <c r="I410" s="20">
        <f t="shared" ca="1" si="31"/>
        <v>0.14253817822164538</v>
      </c>
      <c r="J410" s="20">
        <f t="shared" ca="1" si="33"/>
        <v>0.14580854764050485</v>
      </c>
      <c r="K410" s="36">
        <v>15</v>
      </c>
    </row>
    <row r="411" spans="1:11" x14ac:dyDescent="0.25">
      <c r="A411" s="23" t="s">
        <v>6</v>
      </c>
      <c r="B411" s="24">
        <v>44975</v>
      </c>
      <c r="C411" s="28">
        <v>0.14000000000000001</v>
      </c>
      <c r="D411" s="25">
        <f t="shared" ca="1" si="34"/>
        <v>118.2039486247279</v>
      </c>
      <c r="E411" s="26">
        <f>+E410*(1+C410*F411/365)</f>
        <v>118.2039486247279</v>
      </c>
      <c r="F411" s="27">
        <f t="shared" si="35"/>
        <v>1</v>
      </c>
      <c r="G411" s="28">
        <f t="shared" ca="1" si="36"/>
        <v>0.1401381469390604</v>
      </c>
      <c r="H411" s="28">
        <f t="shared" ca="1" si="32"/>
        <v>0.14075971902297618</v>
      </c>
      <c r="I411" s="28">
        <f t="shared" ca="1" si="31"/>
        <v>0.14253879536981345</v>
      </c>
      <c r="J411" s="28">
        <f t="shared" ca="1" si="33"/>
        <v>0.14577946953532245</v>
      </c>
      <c r="K411" s="36">
        <v>15</v>
      </c>
    </row>
    <row r="412" spans="1:11" x14ac:dyDescent="0.25">
      <c r="A412" s="23" t="s">
        <v>6</v>
      </c>
      <c r="B412" s="24">
        <v>44976</v>
      </c>
      <c r="C412" s="28">
        <v>0.14000000000000001</v>
      </c>
      <c r="D412" s="25">
        <f t="shared" ca="1" si="34"/>
        <v>118.24926974212795</v>
      </c>
      <c r="E412" s="26">
        <f>+E410*(1+C411*F412/365)</f>
        <v>118.24926974212795</v>
      </c>
      <c r="F412" s="27">
        <f t="shared" si="35"/>
        <v>2</v>
      </c>
      <c r="G412" s="28">
        <f t="shared" ca="1" si="36"/>
        <v>0.1401381469390604</v>
      </c>
      <c r="H412" s="28">
        <f t="shared" ca="1" si="32"/>
        <v>0.1407579097483323</v>
      </c>
      <c r="I412" s="28">
        <f t="shared" ref="I412:I475" ca="1" si="37">($D412/OFFSET($D412,-90,0)-1)*365/90</f>
        <v>0.14253941204509629</v>
      </c>
      <c r="J412" s="28">
        <f t="shared" ca="1" si="33"/>
        <v>0.1457493870789493</v>
      </c>
      <c r="K412" s="36">
        <v>15</v>
      </c>
    </row>
    <row r="413" spans="1:11" x14ac:dyDescent="0.25">
      <c r="A413" s="13" t="s">
        <v>7</v>
      </c>
      <c r="B413" s="29">
        <v>44977</v>
      </c>
      <c r="C413" s="20">
        <v>0.14000000000000001</v>
      </c>
      <c r="D413" s="30">
        <f t="shared" ca="1" si="34"/>
        <v>118.29459085952803</v>
      </c>
      <c r="E413" s="31">
        <f>+E410*(1+C412*F413/365)</f>
        <v>118.29459085952803</v>
      </c>
      <c r="F413" s="32">
        <f t="shared" si="35"/>
        <v>3</v>
      </c>
      <c r="G413" s="20">
        <f t="shared" ca="1" si="36"/>
        <v>0.1401381469390604</v>
      </c>
      <c r="H413" s="20">
        <f t="shared" ca="1" si="32"/>
        <v>0.14075429258645961</v>
      </c>
      <c r="I413" s="20">
        <f t="shared" ca="1" si="37"/>
        <v>0.14253817822164538</v>
      </c>
      <c r="J413" s="20">
        <f t="shared" ca="1" si="33"/>
        <v>0.14571898576507708</v>
      </c>
      <c r="K413" s="36">
        <v>15</v>
      </c>
    </row>
    <row r="414" spans="1:11" x14ac:dyDescent="0.25">
      <c r="A414" s="13" t="s">
        <v>7</v>
      </c>
      <c r="B414" s="29">
        <v>44978</v>
      </c>
      <c r="C414" s="20">
        <v>0.14000000000000001</v>
      </c>
      <c r="D414" s="30">
        <f t="shared" ca="1" si="34"/>
        <v>118.33996412725497</v>
      </c>
      <c r="E414" s="31">
        <f>+E413*(1+C413*F414/365)</f>
        <v>118.33996412725497</v>
      </c>
      <c r="F414" s="32">
        <f t="shared" si="35"/>
        <v>1</v>
      </c>
      <c r="G414" s="20">
        <f t="shared" ca="1" si="36"/>
        <v>0.1401381469390604</v>
      </c>
      <c r="H414" s="20">
        <f t="shared" ca="1" si="32"/>
        <v>0.14075610186056856</v>
      </c>
      <c r="I414" s="20">
        <f t="shared" ca="1" si="37"/>
        <v>0.14253817822164538</v>
      </c>
      <c r="J414" s="20">
        <f t="shared" ca="1" si="33"/>
        <v>0.14568922366011156</v>
      </c>
      <c r="K414" s="36">
        <v>15</v>
      </c>
    </row>
    <row r="415" spans="1:11" x14ac:dyDescent="0.25">
      <c r="A415" s="13" t="s">
        <v>7</v>
      </c>
      <c r="B415" s="29">
        <v>44979</v>
      </c>
      <c r="C415" s="20">
        <v>0.14000000000000001</v>
      </c>
      <c r="D415" s="30">
        <f t="shared" ca="1" si="34"/>
        <v>118.38535479842707</v>
      </c>
      <c r="E415" s="31">
        <f>+E414*(1+C414*F415/365)</f>
        <v>118.38535479842707</v>
      </c>
      <c r="F415" s="32">
        <f t="shared" si="35"/>
        <v>1</v>
      </c>
      <c r="G415" s="20">
        <f t="shared" ca="1" si="36"/>
        <v>0.1401381469390604</v>
      </c>
      <c r="H415" s="20">
        <f t="shared" ca="1" si="32"/>
        <v>0.14075971902297343</v>
      </c>
      <c r="I415" s="20">
        <f t="shared" ca="1" si="37"/>
        <v>0.14253817822164538</v>
      </c>
      <c r="J415" s="20">
        <f t="shared" ca="1" si="33"/>
        <v>0.14565946196268414</v>
      </c>
      <c r="K415" s="36">
        <v>15</v>
      </c>
    </row>
    <row r="416" spans="1:11" x14ac:dyDescent="0.25">
      <c r="A416" s="13" t="s">
        <v>7</v>
      </c>
      <c r="B416" s="29">
        <v>44980</v>
      </c>
      <c r="C416" s="20">
        <v>0.14000000000000001</v>
      </c>
      <c r="D416" s="30">
        <f t="shared" ca="1" si="34"/>
        <v>118.43076287971962</v>
      </c>
      <c r="E416" s="31">
        <f>+E415*(1+C415*F416/365)</f>
        <v>118.43076287971962</v>
      </c>
      <c r="F416" s="32">
        <f t="shared" si="35"/>
        <v>1</v>
      </c>
      <c r="G416" s="20">
        <f t="shared" ca="1" si="36"/>
        <v>0.14013814693904883</v>
      </c>
      <c r="H416" s="20">
        <f t="shared" ref="H416:H479" ca="1" si="38">($D416/OFFSET($D416,-30,0)-1)*365/30</f>
        <v>0.14075971902297343</v>
      </c>
      <c r="I416" s="20">
        <f t="shared" ca="1" si="37"/>
        <v>0.1425381782216445</v>
      </c>
      <c r="J416" s="20">
        <f t="shared" ca="1" si="33"/>
        <v>0.14562970067278935</v>
      </c>
      <c r="K416" s="36">
        <v>15</v>
      </c>
    </row>
    <row r="417" spans="1:11" x14ac:dyDescent="0.25">
      <c r="A417" s="13" t="s">
        <v>7</v>
      </c>
      <c r="B417" s="29">
        <v>44981</v>
      </c>
      <c r="C417" s="20">
        <v>0.14000000000000001</v>
      </c>
      <c r="D417" s="30">
        <f t="shared" ca="1" si="34"/>
        <v>118.47618837781049</v>
      </c>
      <c r="E417" s="31">
        <f>+E416*(1+C416*F417/365)</f>
        <v>118.47618837781049</v>
      </c>
      <c r="F417" s="32">
        <f t="shared" si="35"/>
        <v>1</v>
      </c>
      <c r="G417" s="20">
        <f t="shared" ca="1" si="36"/>
        <v>0.1401381469390604</v>
      </c>
      <c r="H417" s="20">
        <f t="shared" ca="1" si="38"/>
        <v>0.14075971902297343</v>
      </c>
      <c r="I417" s="20">
        <f t="shared" ca="1" si="37"/>
        <v>0.1425381782216445</v>
      </c>
      <c r="J417" s="20">
        <f t="shared" ca="1" si="33"/>
        <v>0.14560028251130358</v>
      </c>
      <c r="K417" s="36">
        <v>15</v>
      </c>
    </row>
    <row r="418" spans="1:11" x14ac:dyDescent="0.25">
      <c r="A418" s="23" t="s">
        <v>6</v>
      </c>
      <c r="B418" s="29">
        <v>44982</v>
      </c>
      <c r="C418" s="20">
        <v>0.14000000000000001</v>
      </c>
      <c r="D418" s="30">
        <f t="shared" ca="1" si="34"/>
        <v>118.52163129938006</v>
      </c>
      <c r="E418" s="31">
        <f>+E417*(1+C417*F418/365)</f>
        <v>118.52163129938006</v>
      </c>
      <c r="F418" s="32">
        <f t="shared" si="35"/>
        <v>1</v>
      </c>
      <c r="G418" s="20">
        <f t="shared" ca="1" si="36"/>
        <v>0.14013814693904883</v>
      </c>
      <c r="H418" s="20">
        <f t="shared" ca="1" si="38"/>
        <v>0.14075971902297343</v>
      </c>
      <c r="I418" s="20">
        <f t="shared" ca="1" si="37"/>
        <v>0.14253879536981345</v>
      </c>
      <c r="J418" s="20">
        <f t="shared" ca="1" si="33"/>
        <v>0.14557120719227931</v>
      </c>
      <c r="K418" s="36">
        <v>15</v>
      </c>
    </row>
    <row r="419" spans="1:11" x14ac:dyDescent="0.25">
      <c r="A419" s="23" t="s">
        <v>6</v>
      </c>
      <c r="B419" s="29">
        <v>44983</v>
      </c>
      <c r="C419" s="20">
        <v>0.14000000000000001</v>
      </c>
      <c r="D419" s="30">
        <f t="shared" ca="1" si="34"/>
        <v>118.56707422094962</v>
      </c>
      <c r="E419" s="31">
        <f>+E417*(1+C418*F419/365)</f>
        <v>118.56707422094962</v>
      </c>
      <c r="F419" s="32">
        <f t="shared" si="35"/>
        <v>2</v>
      </c>
      <c r="G419" s="20">
        <f t="shared" ca="1" si="36"/>
        <v>0.1401381469390604</v>
      </c>
      <c r="H419" s="20">
        <f t="shared" ca="1" si="38"/>
        <v>0.1407579097483323</v>
      </c>
      <c r="I419" s="20">
        <f t="shared" ca="1" si="37"/>
        <v>0.1425394120450954</v>
      </c>
      <c r="J419" s="20">
        <f t="shared" ca="1" si="33"/>
        <v>0.14554112761829782</v>
      </c>
      <c r="K419" s="36">
        <v>15</v>
      </c>
    </row>
    <row r="420" spans="1:11" x14ac:dyDescent="0.25">
      <c r="A420" s="13" t="s">
        <v>7</v>
      </c>
      <c r="B420" s="29">
        <v>44984</v>
      </c>
      <c r="C420" s="20">
        <v>0.14000000000000001</v>
      </c>
      <c r="D420" s="30">
        <f t="shared" ca="1" si="34"/>
        <v>118.6125171425192</v>
      </c>
      <c r="E420" s="31">
        <f>+E417*(1+C419*F420/365)</f>
        <v>118.6125171425192</v>
      </c>
      <c r="F420" s="32">
        <f t="shared" si="35"/>
        <v>3</v>
      </c>
      <c r="G420" s="20">
        <f t="shared" ca="1" si="36"/>
        <v>0.1401381469390604</v>
      </c>
      <c r="H420" s="20">
        <f t="shared" ca="1" si="38"/>
        <v>0.14075429258645691</v>
      </c>
      <c r="I420" s="20">
        <f t="shared" ca="1" si="37"/>
        <v>0.1425381782216445</v>
      </c>
      <c r="J420" s="20">
        <f t="shared" ca="1" si="33"/>
        <v>0.14551722865772013</v>
      </c>
      <c r="K420" s="36">
        <v>15</v>
      </c>
    </row>
    <row r="421" spans="1:11" x14ac:dyDescent="0.25">
      <c r="A421" s="13" t="s">
        <v>7</v>
      </c>
      <c r="B421" s="29">
        <v>44985</v>
      </c>
      <c r="C421" s="20">
        <v>0.14000000000000001</v>
      </c>
      <c r="D421" s="30">
        <f t="shared" ca="1" si="34"/>
        <v>118.65801235457387</v>
      </c>
      <c r="E421" s="31">
        <f>+E420*(1+C420*F421/365)</f>
        <v>118.65801235457387</v>
      </c>
      <c r="F421" s="32">
        <f t="shared" si="35"/>
        <v>1</v>
      </c>
      <c r="G421" s="20">
        <f t="shared" ca="1" si="36"/>
        <v>0.1401381469390604</v>
      </c>
      <c r="H421" s="20">
        <f t="shared" ca="1" si="38"/>
        <v>0.14075610186056856</v>
      </c>
      <c r="I421" s="20">
        <f t="shared" ca="1" si="37"/>
        <v>0.1425381782216445</v>
      </c>
      <c r="J421" s="20">
        <f t="shared" ca="1" si="33"/>
        <v>0.14549090350195215</v>
      </c>
      <c r="K421" s="36">
        <v>15</v>
      </c>
    </row>
    <row r="422" spans="1:11" x14ac:dyDescent="0.25">
      <c r="A422" s="13" t="s">
        <v>7</v>
      </c>
      <c r="B422" s="29">
        <v>44986</v>
      </c>
      <c r="C422" s="20">
        <v>0.14000000000000001</v>
      </c>
      <c r="D422" s="30">
        <f t="shared" ca="1" si="34"/>
        <v>118.70352501684687</v>
      </c>
      <c r="E422" s="31">
        <f>+E421*(1+C421*F422/365)</f>
        <v>118.70352501684687</v>
      </c>
      <c r="F422" s="32">
        <f t="shared" si="35"/>
        <v>1</v>
      </c>
      <c r="G422" s="20">
        <f t="shared" ca="1" si="36"/>
        <v>0.1401381469390604</v>
      </c>
      <c r="H422" s="20">
        <f t="shared" ca="1" si="38"/>
        <v>0.14075971902297343</v>
      </c>
      <c r="I422" s="20">
        <f t="shared" ca="1" si="37"/>
        <v>0.1425381782216445</v>
      </c>
      <c r="J422" s="20">
        <f t="shared" ca="1" si="33"/>
        <v>0.14546491864368258</v>
      </c>
      <c r="K422" s="36">
        <v>15</v>
      </c>
    </row>
    <row r="423" spans="1:11" x14ac:dyDescent="0.25">
      <c r="A423" s="13" t="s">
        <v>7</v>
      </c>
      <c r="B423" s="29">
        <v>44987</v>
      </c>
      <c r="C423" s="20">
        <v>0.14000000000000001</v>
      </c>
      <c r="D423" s="30">
        <f t="shared" ca="1" si="34"/>
        <v>118.74905513603142</v>
      </c>
      <c r="E423" s="31">
        <f>+E422*(1+C422*F423/365)</f>
        <v>118.74905513603142</v>
      </c>
      <c r="F423" s="32">
        <f t="shared" si="35"/>
        <v>1</v>
      </c>
      <c r="G423" s="20">
        <f t="shared" ca="1" si="36"/>
        <v>0.1401381469390604</v>
      </c>
      <c r="H423" s="20">
        <f t="shared" ca="1" si="38"/>
        <v>0.14075971902297343</v>
      </c>
      <c r="I423" s="20">
        <f t="shared" ca="1" si="37"/>
        <v>0.1425381782216445</v>
      </c>
      <c r="J423" s="20">
        <f t="shared" ca="1" si="33"/>
        <v>0.14543927380193702</v>
      </c>
      <c r="K423" s="36">
        <v>15</v>
      </c>
    </row>
    <row r="424" spans="1:11" x14ac:dyDescent="0.25">
      <c r="A424" s="13" t="s">
        <v>7</v>
      </c>
      <c r="B424" s="29">
        <v>44988</v>
      </c>
      <c r="C424" s="20">
        <v>0.14000000000000001</v>
      </c>
      <c r="D424" s="30">
        <f t="shared" ca="1" si="34"/>
        <v>118.79460271882333</v>
      </c>
      <c r="E424" s="31">
        <f>+E423*(1+C423*F424/365)</f>
        <v>118.79460271882333</v>
      </c>
      <c r="F424" s="32">
        <f t="shared" si="35"/>
        <v>1</v>
      </c>
      <c r="G424" s="20">
        <f t="shared" ca="1" si="36"/>
        <v>0.1401381469390604</v>
      </c>
      <c r="H424" s="20">
        <f t="shared" ca="1" si="38"/>
        <v>0.14075971902297343</v>
      </c>
      <c r="I424" s="20">
        <f t="shared" ca="1" si="37"/>
        <v>0.14253817822164358</v>
      </c>
      <c r="J424" s="20">
        <f t="shared" ca="1" si="33"/>
        <v>0.14541396869623144</v>
      </c>
      <c r="K424" s="36">
        <v>15</v>
      </c>
    </row>
    <row r="425" spans="1:11" x14ac:dyDescent="0.25">
      <c r="A425" s="23" t="s">
        <v>6</v>
      </c>
      <c r="B425" s="24">
        <v>44989</v>
      </c>
      <c r="C425" s="28">
        <v>0.14000000000000001</v>
      </c>
      <c r="D425" s="25">
        <f t="shared" ca="1" si="34"/>
        <v>118.84016777192096</v>
      </c>
      <c r="E425" s="26">
        <f>+E424*(1+C424*F425/365)</f>
        <v>118.84016777192096</v>
      </c>
      <c r="F425" s="27">
        <f t="shared" si="35"/>
        <v>1</v>
      </c>
      <c r="G425" s="28">
        <f t="shared" ca="1" si="36"/>
        <v>0.1401381469390604</v>
      </c>
      <c r="H425" s="28">
        <f t="shared" ca="1" si="38"/>
        <v>0.14075971902297343</v>
      </c>
      <c r="I425" s="28">
        <f t="shared" ca="1" si="37"/>
        <v>0.14253879536981257</v>
      </c>
      <c r="J425" s="28">
        <f t="shared" ca="1" si="33"/>
        <v>0.1453890030465721</v>
      </c>
      <c r="K425" s="36">
        <v>15</v>
      </c>
    </row>
    <row r="426" spans="1:11" x14ac:dyDescent="0.25">
      <c r="A426" s="23" t="s">
        <v>6</v>
      </c>
      <c r="B426" s="24">
        <v>44990</v>
      </c>
      <c r="C426" s="28">
        <v>0.14000000000000001</v>
      </c>
      <c r="D426" s="25">
        <f t="shared" ca="1" si="34"/>
        <v>118.88573282501858</v>
      </c>
      <c r="E426" s="26">
        <f>+E424*(1+C425*F426/365)</f>
        <v>118.88573282501858</v>
      </c>
      <c r="F426" s="27">
        <f t="shared" si="35"/>
        <v>2</v>
      </c>
      <c r="G426" s="28">
        <f t="shared" ca="1" si="36"/>
        <v>0.1401381469390604</v>
      </c>
      <c r="H426" s="28">
        <f t="shared" ca="1" si="38"/>
        <v>0.1407579097483323</v>
      </c>
      <c r="I426" s="28">
        <f t="shared" ca="1" si="37"/>
        <v>0.14253941204509449</v>
      </c>
      <c r="J426" s="28">
        <f t="shared" ca="1" si="33"/>
        <v>0.14535892599433117</v>
      </c>
      <c r="K426" s="36">
        <v>15</v>
      </c>
    </row>
    <row r="427" spans="1:11" x14ac:dyDescent="0.25">
      <c r="A427" s="13" t="s">
        <v>7</v>
      </c>
      <c r="B427" s="29">
        <v>44991</v>
      </c>
      <c r="C427" s="20">
        <v>0.14000000000000001</v>
      </c>
      <c r="D427" s="30">
        <f t="shared" ca="1" si="34"/>
        <v>118.93129787811621</v>
      </c>
      <c r="E427" s="31">
        <f>+E424*(1+C426*F427/365)</f>
        <v>118.93129787811621</v>
      </c>
      <c r="F427" s="32">
        <f t="shared" si="35"/>
        <v>3</v>
      </c>
      <c r="G427" s="20">
        <f t="shared" ca="1" si="36"/>
        <v>0.1401381469390604</v>
      </c>
      <c r="H427" s="20">
        <f t="shared" ca="1" si="38"/>
        <v>0.14075429258645691</v>
      </c>
      <c r="I427" s="20">
        <f t="shared" ca="1" si="37"/>
        <v>0.14253817822164358</v>
      </c>
      <c r="J427" s="20">
        <f t="shared" ca="1" si="33"/>
        <v>0.14533051670487782</v>
      </c>
      <c r="K427" s="36">
        <v>15</v>
      </c>
    </row>
    <row r="428" spans="1:11" x14ac:dyDescent="0.25">
      <c r="A428" s="13" t="s">
        <v>7</v>
      </c>
      <c r="B428" s="29">
        <v>44992</v>
      </c>
      <c r="C428" s="20">
        <v>0.14000000000000001</v>
      </c>
      <c r="D428" s="30">
        <f t="shared" ca="1" si="34"/>
        <v>118.97691536223385</v>
      </c>
      <c r="E428" s="31">
        <f>+E427*(1+C427*F428/365)</f>
        <v>118.97691536223385</v>
      </c>
      <c r="F428" s="32">
        <f t="shared" si="35"/>
        <v>1</v>
      </c>
      <c r="G428" s="20">
        <f t="shared" ca="1" si="36"/>
        <v>0.1401381469390604</v>
      </c>
      <c r="H428" s="20">
        <f t="shared" ca="1" si="38"/>
        <v>0.14075610186056856</v>
      </c>
      <c r="I428" s="20">
        <f t="shared" ca="1" si="37"/>
        <v>0.14253817822164358</v>
      </c>
      <c r="J428" s="20">
        <f t="shared" ca="1" si="33"/>
        <v>0.14530314376487233</v>
      </c>
      <c r="K428" s="36">
        <v>15</v>
      </c>
    </row>
    <row r="429" spans="1:11" x14ac:dyDescent="0.25">
      <c r="A429" s="23" t="s">
        <v>6</v>
      </c>
      <c r="B429" s="24">
        <v>44993</v>
      </c>
      <c r="C429" s="28">
        <v>0.14000000000000001</v>
      </c>
      <c r="D429" s="25">
        <f t="shared" ca="1" si="34"/>
        <v>119.02255034346869</v>
      </c>
      <c r="E429" s="26">
        <f>+E427*(1+C428*F429/365)</f>
        <v>118.97691536223385</v>
      </c>
      <c r="F429" s="27">
        <f t="shared" si="35"/>
        <v>1</v>
      </c>
      <c r="G429" s="28">
        <f t="shared" ca="1" si="36"/>
        <v>0.1401381469390604</v>
      </c>
      <c r="H429" s="28">
        <f t="shared" ca="1" si="38"/>
        <v>0.14075971902297343</v>
      </c>
      <c r="I429" s="28">
        <f t="shared" ca="1" si="37"/>
        <v>0.14253817822164358</v>
      </c>
      <c r="J429" s="28">
        <f t="shared" ca="1" si="33"/>
        <v>0.14527338735411044</v>
      </c>
      <c r="K429" s="36">
        <v>15</v>
      </c>
    </row>
    <row r="430" spans="1:11" x14ac:dyDescent="0.25">
      <c r="A430" s="13" t="s">
        <v>7</v>
      </c>
      <c r="B430" s="29">
        <v>44994</v>
      </c>
      <c r="C430" s="20">
        <v>0.14000000000000001</v>
      </c>
      <c r="D430" s="30">
        <f t="shared" ca="1" si="34"/>
        <v>119.06818532470351</v>
      </c>
      <c r="E430" s="31">
        <f>+E428*(1+C429*F430/365)</f>
        <v>119.06818532470351</v>
      </c>
      <c r="F430" s="32">
        <f t="shared" si="35"/>
        <v>2</v>
      </c>
      <c r="G430" s="20">
        <f t="shared" ca="1" si="36"/>
        <v>0.14013046098631854</v>
      </c>
      <c r="H430" s="20">
        <f t="shared" ca="1" si="38"/>
        <v>0.1407579097483323</v>
      </c>
      <c r="I430" s="20">
        <f t="shared" ca="1" si="37"/>
        <v>0.14253817822164358</v>
      </c>
      <c r="J430" s="20">
        <f t="shared" ca="1" si="33"/>
        <v>0.14524331190201356</v>
      </c>
      <c r="K430" s="36">
        <v>15</v>
      </c>
    </row>
    <row r="431" spans="1:11" x14ac:dyDescent="0.25">
      <c r="A431" s="13" t="s">
        <v>7</v>
      </c>
      <c r="B431" s="29">
        <v>44995</v>
      </c>
      <c r="C431" s="20">
        <v>0.14000000000000001</v>
      </c>
      <c r="D431" s="30">
        <f t="shared" ca="1" si="34"/>
        <v>119.11385531359518</v>
      </c>
      <c r="E431" s="31">
        <f>+E430*(1+C430*F431/365)</f>
        <v>119.11385531359518</v>
      </c>
      <c r="F431" s="32">
        <f t="shared" si="35"/>
        <v>1</v>
      </c>
      <c r="G431" s="20">
        <f t="shared" ca="1" si="36"/>
        <v>0.14013046098631854</v>
      </c>
      <c r="H431" s="20">
        <f t="shared" ca="1" si="38"/>
        <v>0.1407579097483323</v>
      </c>
      <c r="I431" s="20">
        <f t="shared" ca="1" si="37"/>
        <v>0.14253817822164358</v>
      </c>
      <c r="J431" s="20">
        <f t="shared" ca="1" si="33"/>
        <v>0.1452138989704938</v>
      </c>
      <c r="K431" s="36">
        <v>15</v>
      </c>
    </row>
    <row r="432" spans="1:11" x14ac:dyDescent="0.25">
      <c r="A432" s="13" t="s">
        <v>7</v>
      </c>
      <c r="B432" s="29">
        <v>44996</v>
      </c>
      <c r="C432" s="20">
        <v>0.14000000000000001</v>
      </c>
      <c r="D432" s="30">
        <f t="shared" ca="1" si="34"/>
        <v>119.15954281974287</v>
      </c>
      <c r="E432" s="31">
        <f>+E431*(1+C431*F432/365)</f>
        <v>119.15954281974287</v>
      </c>
      <c r="F432" s="32">
        <f t="shared" si="35"/>
        <v>1</v>
      </c>
      <c r="G432" s="20">
        <f t="shared" ca="1" si="36"/>
        <v>0.14013046098631854</v>
      </c>
      <c r="H432" s="20">
        <f t="shared" ca="1" si="38"/>
        <v>0.1407579097483323</v>
      </c>
      <c r="I432" s="20">
        <f t="shared" ca="1" si="37"/>
        <v>0.14253879536981257</v>
      </c>
      <c r="J432" s="20">
        <f t="shared" ca="1" si="33"/>
        <v>0.14518482882048517</v>
      </c>
      <c r="K432" s="36">
        <v>15</v>
      </c>
    </row>
    <row r="433" spans="1:11" x14ac:dyDescent="0.25">
      <c r="A433" s="23" t="s">
        <v>6</v>
      </c>
      <c r="B433" s="24">
        <v>44997</v>
      </c>
      <c r="C433" s="28">
        <v>0.14000000000000001</v>
      </c>
      <c r="D433" s="25">
        <f t="shared" ca="1" si="34"/>
        <v>119.20524784986551</v>
      </c>
      <c r="E433" s="26">
        <f>+E431*(1+C432*F433/365)</f>
        <v>119.15954281974287</v>
      </c>
      <c r="F433" s="27">
        <f t="shared" si="35"/>
        <v>1</v>
      </c>
      <c r="G433" s="28">
        <f t="shared" ca="1" si="36"/>
        <v>0.1401381469390604</v>
      </c>
      <c r="H433" s="28">
        <f t="shared" ca="1" si="38"/>
        <v>0.1407579097483323</v>
      </c>
      <c r="I433" s="28">
        <f t="shared" ca="1" si="37"/>
        <v>0.14254002919344447</v>
      </c>
      <c r="J433" s="28">
        <f t="shared" ca="1" si="33"/>
        <v>0.14515507402983258</v>
      </c>
      <c r="K433" s="36">
        <v>15</v>
      </c>
    </row>
    <row r="434" spans="1:11" x14ac:dyDescent="0.25">
      <c r="A434" s="13" t="s">
        <v>7</v>
      </c>
      <c r="B434" s="29">
        <v>44998</v>
      </c>
      <c r="C434" s="20">
        <v>0.14000000000000001</v>
      </c>
      <c r="D434" s="30">
        <f t="shared" ca="1" si="34"/>
        <v>119.25095287998813</v>
      </c>
      <c r="E434" s="31">
        <f>+E432*(1+C433*F434/365)</f>
        <v>119.25095287998813</v>
      </c>
      <c r="F434" s="32">
        <f t="shared" si="35"/>
        <v>2</v>
      </c>
      <c r="G434" s="20">
        <f t="shared" ca="1" si="36"/>
        <v>0.14014582700248165</v>
      </c>
      <c r="H434" s="20">
        <f t="shared" ca="1" si="38"/>
        <v>0.14075610047395587</v>
      </c>
      <c r="I434" s="20">
        <f t="shared" ca="1" si="37"/>
        <v>0.14253941204509449</v>
      </c>
      <c r="J434" s="20">
        <f t="shared" ca="1" si="33"/>
        <v>0.14512500021521499</v>
      </c>
      <c r="K434" s="36">
        <v>15</v>
      </c>
    </row>
    <row r="435" spans="1:11" x14ac:dyDescent="0.25">
      <c r="A435" s="13" t="s">
        <v>7</v>
      </c>
      <c r="B435" s="29">
        <v>44999</v>
      </c>
      <c r="C435" s="20">
        <v>0.14000000000000001</v>
      </c>
      <c r="D435" s="30">
        <f t="shared" ca="1" si="34"/>
        <v>119.29669297150376</v>
      </c>
      <c r="E435" s="31">
        <f>+E434*(1+C434*F435/365)</f>
        <v>119.29669297150376</v>
      </c>
      <c r="F435" s="32">
        <f t="shared" si="35"/>
        <v>1</v>
      </c>
      <c r="G435" s="20">
        <f t="shared" ca="1" si="36"/>
        <v>0.14014582700248165</v>
      </c>
      <c r="H435" s="20">
        <f t="shared" ca="1" si="38"/>
        <v>0.1407579097483323</v>
      </c>
      <c r="I435" s="20">
        <f t="shared" ca="1" si="37"/>
        <v>0.14253941204509449</v>
      </c>
      <c r="J435" s="20">
        <f t="shared" ca="1" si="33"/>
        <v>0.14510363678124966</v>
      </c>
      <c r="K435" s="36">
        <v>15</v>
      </c>
    </row>
    <row r="436" spans="1:11" x14ac:dyDescent="0.25">
      <c r="A436" s="13" t="s">
        <v>7</v>
      </c>
      <c r="B436" s="29">
        <v>45000</v>
      </c>
      <c r="C436" s="20">
        <v>0.14000000000000001</v>
      </c>
      <c r="D436" s="30">
        <f t="shared" ca="1" si="34"/>
        <v>119.34245060716407</v>
      </c>
      <c r="E436" s="31">
        <f>+E435*(1+C435*F436/365)</f>
        <v>119.34245060716407</v>
      </c>
      <c r="F436" s="32">
        <f t="shared" si="35"/>
        <v>1</v>
      </c>
      <c r="G436" s="20">
        <f t="shared" ca="1" si="36"/>
        <v>0.14014582700248165</v>
      </c>
      <c r="H436" s="20">
        <f t="shared" ca="1" si="38"/>
        <v>0.14076152691126936</v>
      </c>
      <c r="I436" s="20">
        <f t="shared" ca="1" si="37"/>
        <v>0.14253941204509449</v>
      </c>
      <c r="J436" s="20">
        <f t="shared" ca="1" si="33"/>
        <v>0.14507556118818093</v>
      </c>
      <c r="K436" s="36">
        <v>15</v>
      </c>
    </row>
    <row r="437" spans="1:11" x14ac:dyDescent="0.25">
      <c r="A437" s="13" t="s">
        <v>7</v>
      </c>
      <c r="B437" s="29">
        <v>45001</v>
      </c>
      <c r="C437" s="20">
        <v>0.14000000000000001</v>
      </c>
      <c r="D437" s="30">
        <f t="shared" ca="1" si="34"/>
        <v>119.38822579369833</v>
      </c>
      <c r="E437" s="31">
        <f>+E436*(1+C436*F437/365)</f>
        <v>119.38822579369833</v>
      </c>
      <c r="F437" s="32">
        <f t="shared" si="35"/>
        <v>1</v>
      </c>
      <c r="G437" s="20">
        <f t="shared" ca="1" si="36"/>
        <v>0.14015351295748127</v>
      </c>
      <c r="H437" s="20">
        <f t="shared" ca="1" si="38"/>
        <v>0.14076152691126936</v>
      </c>
      <c r="I437" s="20">
        <f t="shared" ca="1" si="37"/>
        <v>0.14253941204509449</v>
      </c>
      <c r="J437" s="20">
        <f t="shared" ca="1" si="33"/>
        <v>0.14506142827172594</v>
      </c>
      <c r="K437" s="36">
        <v>15</v>
      </c>
    </row>
    <row r="438" spans="1:11" x14ac:dyDescent="0.25">
      <c r="A438" s="13" t="s">
        <v>7</v>
      </c>
      <c r="B438" s="29">
        <v>45002</v>
      </c>
      <c r="C438" s="20">
        <v>0.14000000000000001</v>
      </c>
      <c r="D438" s="30">
        <f t="shared" ca="1" si="34"/>
        <v>119.43401853783838</v>
      </c>
      <c r="E438" s="31">
        <f>+E437*(1+C437*F438/365)</f>
        <v>119.43401853783838</v>
      </c>
      <c r="F438" s="32">
        <f t="shared" si="35"/>
        <v>1</v>
      </c>
      <c r="G438" s="20">
        <f t="shared" ca="1" si="36"/>
        <v>0.14015351295748127</v>
      </c>
      <c r="H438" s="20">
        <f t="shared" ca="1" si="38"/>
        <v>0.14076152691126936</v>
      </c>
      <c r="I438" s="20">
        <f t="shared" ca="1" si="37"/>
        <v>0.14253941204509449</v>
      </c>
      <c r="J438" s="20">
        <f t="shared" ref="J438:J501" ca="1" si="39">($D438/OFFSET($D438,-180,0)-1)*365/180</f>
        <v>0.14504762579226779</v>
      </c>
      <c r="K438" s="36">
        <v>14</v>
      </c>
    </row>
    <row r="439" spans="1:11" x14ac:dyDescent="0.25">
      <c r="A439" s="23" t="s">
        <v>6</v>
      </c>
      <c r="B439" s="24">
        <v>45003</v>
      </c>
      <c r="C439" s="28">
        <v>0.14000000000000001</v>
      </c>
      <c r="D439" s="25">
        <f t="shared" ca="1" si="34"/>
        <v>119.47982884631865</v>
      </c>
      <c r="E439" s="26">
        <f>+E438*(1+C438*F439/365)</f>
        <v>119.47982884631865</v>
      </c>
      <c r="F439" s="27">
        <f t="shared" si="35"/>
        <v>1</v>
      </c>
      <c r="G439" s="28">
        <f t="shared" ca="1" si="36"/>
        <v>0.14015351295748127</v>
      </c>
      <c r="H439" s="28">
        <f t="shared" ca="1" si="38"/>
        <v>0.14076152691126936</v>
      </c>
      <c r="I439" s="28">
        <f t="shared" ca="1" si="37"/>
        <v>0.14254002919344447</v>
      </c>
      <c r="J439" s="28">
        <f t="shared" ca="1" si="39"/>
        <v>0.14503415348604898</v>
      </c>
      <c r="K439" s="36">
        <v>14</v>
      </c>
    </row>
    <row r="440" spans="1:11" x14ac:dyDescent="0.25">
      <c r="A440" s="23" t="s">
        <v>6</v>
      </c>
      <c r="B440" s="24">
        <v>45004</v>
      </c>
      <c r="C440" s="28">
        <v>0.14000000000000001</v>
      </c>
      <c r="D440" s="25">
        <f t="shared" ca="1" si="34"/>
        <v>119.52563915479891</v>
      </c>
      <c r="E440" s="26">
        <f>+E438*(1+C439*F440/365)</f>
        <v>119.52563915479891</v>
      </c>
      <c r="F440" s="27">
        <f t="shared" si="35"/>
        <v>2</v>
      </c>
      <c r="G440" s="28">
        <f t="shared" ca="1" si="36"/>
        <v>0.14014582700248165</v>
      </c>
      <c r="H440" s="28">
        <f t="shared" ca="1" si="38"/>
        <v>0.14075971763636344</v>
      </c>
      <c r="I440" s="28">
        <f t="shared" ca="1" si="37"/>
        <v>0.14254064586890833</v>
      </c>
      <c r="J440" s="28">
        <f t="shared" ca="1" si="39"/>
        <v>0.14500408134499521</v>
      </c>
      <c r="K440" s="36">
        <v>14</v>
      </c>
    </row>
    <row r="441" spans="1:11" x14ac:dyDescent="0.25">
      <c r="A441" s="23" t="s">
        <v>6</v>
      </c>
      <c r="B441" s="24">
        <v>45005</v>
      </c>
      <c r="C441" s="28">
        <v>0.14000000000000001</v>
      </c>
      <c r="D441" s="25">
        <f t="shared" ca="1" si="34"/>
        <v>119.57144946327918</v>
      </c>
      <c r="E441" s="26">
        <f>+E440*(1+C440*F441/365)</f>
        <v>119.66317550670306</v>
      </c>
      <c r="F441" s="27">
        <f t="shared" si="35"/>
        <v>3</v>
      </c>
      <c r="G441" s="28">
        <f t="shared" ca="1" si="36"/>
        <v>0.1401381469390604</v>
      </c>
      <c r="H441" s="28">
        <f t="shared" ca="1" si="38"/>
        <v>0.14075610047395587</v>
      </c>
      <c r="I441" s="28">
        <f t="shared" ca="1" si="37"/>
        <v>0.14253941204509449</v>
      </c>
      <c r="J441" s="28">
        <f t="shared" ca="1" si="39"/>
        <v>0.14499441072623723</v>
      </c>
      <c r="K441" s="36">
        <v>14</v>
      </c>
    </row>
    <row r="442" spans="1:11" x14ac:dyDescent="0.25">
      <c r="A442" s="23" t="s">
        <v>6</v>
      </c>
      <c r="B442" s="24">
        <v>45006</v>
      </c>
      <c r="C442" s="28">
        <v>0.14000000000000001</v>
      </c>
      <c r="D442" s="25">
        <f t="shared" ca="1" si="34"/>
        <v>119.61725977175945</v>
      </c>
      <c r="E442" s="26">
        <f>+E440*(1+C441*F442/365)</f>
        <v>119.70902095733778</v>
      </c>
      <c r="F442" s="27">
        <f t="shared" si="35"/>
        <v>4</v>
      </c>
      <c r="G442" s="28">
        <f t="shared" ca="1" si="36"/>
        <v>0.14011510674875033</v>
      </c>
      <c r="H442" s="28">
        <f t="shared" ca="1" si="38"/>
        <v>0.14075248608423607</v>
      </c>
      <c r="I442" s="28">
        <f t="shared" ca="1" si="37"/>
        <v>0.14253756201897311</v>
      </c>
      <c r="J442" s="28">
        <f t="shared" ca="1" si="39"/>
        <v>0.14498064316198689</v>
      </c>
      <c r="K442" s="36">
        <v>14</v>
      </c>
    </row>
    <row r="443" spans="1:11" x14ac:dyDescent="0.25">
      <c r="A443" s="23" t="s">
        <v>6</v>
      </c>
      <c r="B443" s="24">
        <v>45007</v>
      </c>
      <c r="C443" s="28">
        <v>0.14000000000000001</v>
      </c>
      <c r="D443" s="25">
        <f t="shared" ca="1" si="34"/>
        <v>119.66307008023971</v>
      </c>
      <c r="E443" s="26">
        <f>+E442*(1+C442*F443/365)</f>
        <v>119.93859990163952</v>
      </c>
      <c r="F443" s="27">
        <f t="shared" si="35"/>
        <v>5</v>
      </c>
      <c r="G443" s="28">
        <f t="shared" ca="1" si="36"/>
        <v>0.14008439827360236</v>
      </c>
      <c r="H443" s="28">
        <f t="shared" ca="1" si="38"/>
        <v>0.1407488744640055</v>
      </c>
      <c r="I443" s="28">
        <f t="shared" ca="1" si="37"/>
        <v>0.14253509626324753</v>
      </c>
      <c r="J443" s="28">
        <f t="shared" ca="1" si="39"/>
        <v>0.14496578822426084</v>
      </c>
      <c r="K443" s="36">
        <v>14</v>
      </c>
    </row>
    <row r="444" spans="1:11" x14ac:dyDescent="0.25">
      <c r="A444" s="13" t="s">
        <v>7</v>
      </c>
      <c r="B444" s="29">
        <v>45008</v>
      </c>
      <c r="C444" s="20">
        <v>0.13</v>
      </c>
      <c r="D444" s="30">
        <f t="shared" ca="1" si="34"/>
        <v>119.70888038871998</v>
      </c>
      <c r="E444" s="31">
        <f>+E438*(1+C443*F444/365)</f>
        <v>119.70888038871998</v>
      </c>
      <c r="F444" s="32">
        <f t="shared" si="35"/>
        <v>6</v>
      </c>
      <c r="G444" s="20">
        <f t="shared" ca="1" si="36"/>
        <v>0.14004602739726385</v>
      </c>
      <c r="H444" s="20">
        <f t="shared" ca="1" si="38"/>
        <v>0.14073984195156958</v>
      </c>
      <c r="I444" s="20">
        <f t="shared" ca="1" si="37"/>
        <v>0.14253201525034911</v>
      </c>
      <c r="J444" s="20">
        <f t="shared" ca="1" si="39"/>
        <v>0.14496419363007362</v>
      </c>
      <c r="K444" s="36">
        <v>14</v>
      </c>
    </row>
    <row r="445" spans="1:11" x14ac:dyDescent="0.25">
      <c r="A445" s="13" t="s">
        <v>7</v>
      </c>
      <c r="B445" s="29">
        <v>45009</v>
      </c>
      <c r="C445" s="20">
        <v>0.13001699999999999</v>
      </c>
      <c r="D445" s="30">
        <f t="shared" ca="1" si="34"/>
        <v>119.75151642831048</v>
      </c>
      <c r="E445" s="31">
        <f>+E444*(1+C444*F445/365)</f>
        <v>119.75151642831048</v>
      </c>
      <c r="F445" s="32">
        <f t="shared" si="35"/>
        <v>1</v>
      </c>
      <c r="G445" s="20">
        <f t="shared" ca="1" si="36"/>
        <v>0.13861416829745749</v>
      </c>
      <c r="H445" s="20">
        <f t="shared" ca="1" si="38"/>
        <v>0.14040278201541784</v>
      </c>
      <c r="I445" s="20">
        <f t="shared" ca="1" si="37"/>
        <v>0.14241704325136678</v>
      </c>
      <c r="J445" s="20">
        <f t="shared" ca="1" si="39"/>
        <v>0.14490500867537776</v>
      </c>
      <c r="K445" s="36">
        <v>14</v>
      </c>
    </row>
    <row r="446" spans="1:11" x14ac:dyDescent="0.25">
      <c r="A446" s="13" t="s">
        <v>7</v>
      </c>
      <c r="B446" s="29">
        <v>45010</v>
      </c>
      <c r="C446" s="20">
        <v>0.13</v>
      </c>
      <c r="D446" s="30">
        <f t="shared" ca="1" si="34"/>
        <v>119.79417323080763</v>
      </c>
      <c r="E446" s="31">
        <f>+E445*(1+C445*F446/365)</f>
        <v>119.79417323080763</v>
      </c>
      <c r="F446" s="32">
        <f t="shared" si="35"/>
        <v>1</v>
      </c>
      <c r="G446" s="20">
        <f t="shared" ca="1" si="36"/>
        <v>0.13718478250542288</v>
      </c>
      <c r="H446" s="20">
        <f t="shared" ca="1" si="38"/>
        <v>0.14006630429644218</v>
      </c>
      <c r="I446" s="20">
        <f t="shared" ca="1" si="37"/>
        <v>0.14230288696162974</v>
      </c>
      <c r="J446" s="20">
        <f t="shared" ca="1" si="39"/>
        <v>0.14484624563312506</v>
      </c>
      <c r="K446" s="36">
        <v>14</v>
      </c>
    </row>
    <row r="447" spans="1:11" x14ac:dyDescent="0.25">
      <c r="A447" s="23" t="s">
        <v>6</v>
      </c>
      <c r="B447" s="24">
        <v>45011</v>
      </c>
      <c r="C447" s="28">
        <v>0.13</v>
      </c>
      <c r="D447" s="25">
        <f t="shared" ca="1" si="34"/>
        <v>119.83683964867066</v>
      </c>
      <c r="E447" s="26">
        <f>+E445*(1+C446*F447/365)</f>
        <v>119.79416765333974</v>
      </c>
      <c r="F447" s="27">
        <f t="shared" si="35"/>
        <v>1</v>
      </c>
      <c r="G447" s="28">
        <f t="shared" ca="1" si="36"/>
        <v>0.13576068707506114</v>
      </c>
      <c r="H447" s="28">
        <f t="shared" ca="1" si="38"/>
        <v>0.13972926280630241</v>
      </c>
      <c r="I447" s="28">
        <f t="shared" ca="1" si="37"/>
        <v>0.1421891549582382</v>
      </c>
      <c r="J447" s="28">
        <f t="shared" ca="1" si="39"/>
        <v>0.14478674450962697</v>
      </c>
      <c r="K447" s="36">
        <v>14</v>
      </c>
    </row>
    <row r="448" spans="1:11" x14ac:dyDescent="0.25">
      <c r="A448" s="13" t="s">
        <v>7</v>
      </c>
      <c r="B448" s="29">
        <v>45012</v>
      </c>
      <c r="C448" s="20">
        <v>0.13</v>
      </c>
      <c r="D448" s="30">
        <f t="shared" ca="1" si="34"/>
        <v>119.87950606653369</v>
      </c>
      <c r="E448" s="31">
        <f>+E446*(1+C447*F448/365)</f>
        <v>119.87950606653369</v>
      </c>
      <c r="F448" s="32">
        <f t="shared" si="35"/>
        <v>2</v>
      </c>
      <c r="G448" s="20">
        <f t="shared" ca="1" si="36"/>
        <v>0.13433768284582664</v>
      </c>
      <c r="H448" s="20">
        <f t="shared" ca="1" si="38"/>
        <v>0.13939067059670374</v>
      </c>
      <c r="I448" s="20">
        <f t="shared" ca="1" si="37"/>
        <v>0.14207366024597551</v>
      </c>
      <c r="J448" s="20">
        <f t="shared" ca="1" si="39"/>
        <v>0.14472696962294879</v>
      </c>
      <c r="K448" s="36">
        <v>14</v>
      </c>
    </row>
    <row r="449" spans="1:11" x14ac:dyDescent="0.25">
      <c r="A449" s="13" t="s">
        <v>7</v>
      </c>
      <c r="B449" s="29">
        <v>45013</v>
      </c>
      <c r="C449" s="20">
        <v>0.13</v>
      </c>
      <c r="D449" s="30">
        <f t="shared" ca="1" si="34"/>
        <v>119.92220287691356</v>
      </c>
      <c r="E449" s="31">
        <f>+E448*(1+C448*F449/365)</f>
        <v>119.92220287691356</v>
      </c>
      <c r="F449" s="32">
        <f t="shared" si="35"/>
        <v>1</v>
      </c>
      <c r="G449" s="20">
        <f t="shared" ca="1" si="36"/>
        <v>0.13292901709242799</v>
      </c>
      <c r="H449" s="20">
        <f t="shared" ca="1" si="38"/>
        <v>0.13905545663408111</v>
      </c>
      <c r="I449" s="20">
        <f t="shared" ca="1" si="37"/>
        <v>0.14195870079985087</v>
      </c>
      <c r="J449" s="20">
        <f t="shared" ca="1" si="39"/>
        <v>0.14466747176603365</v>
      </c>
      <c r="K449" s="36">
        <v>14</v>
      </c>
    </row>
    <row r="450" spans="1:11" x14ac:dyDescent="0.25">
      <c r="A450" s="13" t="s">
        <v>7</v>
      </c>
      <c r="B450" s="29">
        <v>45014</v>
      </c>
      <c r="C450" s="20">
        <v>0.13</v>
      </c>
      <c r="D450" s="30">
        <f t="shared" ca="1" si="34"/>
        <v>119.96491489437658</v>
      </c>
      <c r="E450" s="31">
        <f>+E449*(1+C449*F450/365)</f>
        <v>119.96491489437658</v>
      </c>
      <c r="F450" s="32">
        <f t="shared" si="35"/>
        <v>1</v>
      </c>
      <c r="G450" s="20">
        <f t="shared" ca="1" si="36"/>
        <v>0.13152805633599154</v>
      </c>
      <c r="H450" s="20">
        <f t="shared" ca="1" si="38"/>
        <v>0.13872205939131629</v>
      </c>
      <c r="I450" s="20">
        <f t="shared" ca="1" si="37"/>
        <v>0.1418437445020915</v>
      </c>
      <c r="J450" s="20">
        <f t="shared" ca="1" si="39"/>
        <v>0.14460797553857155</v>
      </c>
      <c r="K450" s="36">
        <v>14</v>
      </c>
    </row>
    <row r="451" spans="1:11" x14ac:dyDescent="0.25">
      <c r="A451" s="13" t="s">
        <v>7</v>
      </c>
      <c r="B451" s="29">
        <v>45015</v>
      </c>
      <c r="C451" s="20">
        <v>0.13</v>
      </c>
      <c r="D451" s="30">
        <f t="shared" ref="D451:D514" ca="1" si="40">+IF(F451=1,D450*(1+C450*F451/365),OFFSET(D450,-F451+1,0)*(1+C450*F451/365))</f>
        <v>120.00764212433896</v>
      </c>
      <c r="E451" s="31">
        <f>+E450*(1+C450*F451/365)</f>
        <v>120.00764212433896</v>
      </c>
      <c r="F451" s="32">
        <f t="shared" si="35"/>
        <v>1</v>
      </c>
      <c r="G451" s="20">
        <f t="shared" ca="1" si="36"/>
        <v>0.13013479409001297</v>
      </c>
      <c r="H451" s="20">
        <f t="shared" ca="1" si="38"/>
        <v>0.13838505471568233</v>
      </c>
      <c r="I451" s="20">
        <f t="shared" ca="1" si="37"/>
        <v>0.14172879135261271</v>
      </c>
      <c r="J451" s="20">
        <f t="shared" ca="1" si="39"/>
        <v>0.14454848094051834</v>
      </c>
      <c r="K451" s="36">
        <v>14</v>
      </c>
    </row>
    <row r="452" spans="1:11" x14ac:dyDescent="0.25">
      <c r="A452" s="13" t="s">
        <v>7</v>
      </c>
      <c r="B452" s="29">
        <v>45016</v>
      </c>
      <c r="C452" s="20">
        <v>0.14000000000000001</v>
      </c>
      <c r="D452" s="30">
        <f t="shared" ca="1" si="40"/>
        <v>120.05038457221886</v>
      </c>
      <c r="E452" s="31">
        <f>+E451*(1+C451*F452/365)</f>
        <v>120.05038457221886</v>
      </c>
      <c r="F452" s="32">
        <f t="shared" si="35"/>
        <v>1</v>
      </c>
      <c r="G452" s="20">
        <f t="shared" ca="1" si="36"/>
        <v>0.13013479409001297</v>
      </c>
      <c r="H452" s="20">
        <f t="shared" ca="1" si="38"/>
        <v>0.13804805926951508</v>
      </c>
      <c r="I452" s="20">
        <f t="shared" ca="1" si="37"/>
        <v>0.14158510483478426</v>
      </c>
      <c r="J452" s="20">
        <f t="shared" ca="1" si="39"/>
        <v>0.14448930730973356</v>
      </c>
      <c r="K452" s="36">
        <v>14</v>
      </c>
    </row>
    <row r="453" spans="1:11" x14ac:dyDescent="0.25">
      <c r="A453" s="23" t="s">
        <v>6</v>
      </c>
      <c r="B453" s="24">
        <v>45017</v>
      </c>
      <c r="C453" s="28">
        <v>0.14000000000000001</v>
      </c>
      <c r="D453" s="25">
        <f t="shared" ca="1" si="40"/>
        <v>120.09643129506848</v>
      </c>
      <c r="E453" s="26">
        <f>+E452*(1+C452*F453/365)</f>
        <v>120.09643129506848</v>
      </c>
      <c r="F453" s="27">
        <f t="shared" si="35"/>
        <v>1</v>
      </c>
      <c r="G453" s="28">
        <f t="shared" ca="1" si="36"/>
        <v>0.1315639871286938</v>
      </c>
      <c r="H453" s="28">
        <f t="shared" ca="1" si="38"/>
        <v>0.13804805926951508</v>
      </c>
      <c r="I453" s="28">
        <f t="shared" ca="1" si="37"/>
        <v>0.14155700774267402</v>
      </c>
      <c r="J453" s="28">
        <f t="shared" ca="1" si="39"/>
        <v>0.14448994574094537</v>
      </c>
      <c r="K453" s="36">
        <v>14</v>
      </c>
    </row>
    <row r="454" spans="1:11" x14ac:dyDescent="0.25">
      <c r="A454" s="23" t="s">
        <v>6</v>
      </c>
      <c r="B454" s="24">
        <v>45018</v>
      </c>
      <c r="C454" s="28">
        <v>0.14000000000000001</v>
      </c>
      <c r="D454" s="25">
        <f t="shared" ca="1" si="40"/>
        <v>120.14247801791808</v>
      </c>
      <c r="E454" s="26">
        <f>+E452*(1+C453*F454/365)</f>
        <v>120.14247801791808</v>
      </c>
      <c r="F454" s="27">
        <f t="shared" si="35"/>
        <v>2</v>
      </c>
      <c r="G454" s="28">
        <f t="shared" ca="1" si="36"/>
        <v>0.13298796823886525</v>
      </c>
      <c r="H454" s="28">
        <f t="shared" ca="1" si="38"/>
        <v>0.13804625039350277</v>
      </c>
      <c r="I454" s="28">
        <f t="shared" ca="1" si="37"/>
        <v>0.14152893256372209</v>
      </c>
      <c r="J454" s="28">
        <f t="shared" ca="1" si="39"/>
        <v>0.14448962640294674</v>
      </c>
      <c r="K454" s="36">
        <v>14</v>
      </c>
    </row>
    <row r="455" spans="1:11" x14ac:dyDescent="0.25">
      <c r="A455" s="13" t="s">
        <v>7</v>
      </c>
      <c r="B455" s="29">
        <v>45019</v>
      </c>
      <c r="C455" s="20">
        <v>0.13</v>
      </c>
      <c r="D455" s="30">
        <f t="shared" ca="1" si="40"/>
        <v>120.18852474076772</v>
      </c>
      <c r="E455" s="31">
        <f>+E452*(1+C454*F455/365)</f>
        <v>120.18852474076772</v>
      </c>
      <c r="F455" s="32">
        <f t="shared" ref="F455:F518" si="41">IF(A454="Working day",1,(IF(A453="Working day",2,(IF(A452="Working day",3,IF(A451="Working day",4,IF(A450="Working day",5,6)))))))</f>
        <v>3</v>
      </c>
      <c r="G455" s="20">
        <f t="shared" ca="1" si="36"/>
        <v>0.13441093572838497</v>
      </c>
      <c r="H455" s="20">
        <f t="shared" ca="1" si="38"/>
        <v>0.13804263402859054</v>
      </c>
      <c r="I455" s="20">
        <f t="shared" ca="1" si="37"/>
        <v>0.14150087927230615</v>
      </c>
      <c r="J455" s="20">
        <f t="shared" ca="1" si="39"/>
        <v>0.14448898797182902</v>
      </c>
      <c r="K455" s="36">
        <v>14</v>
      </c>
    </row>
    <row r="456" spans="1:11" x14ac:dyDescent="0.25">
      <c r="A456" s="13" t="s">
        <v>7</v>
      </c>
      <c r="B456" s="29">
        <v>45020</v>
      </c>
      <c r="C456" s="20">
        <v>0.13</v>
      </c>
      <c r="D456" s="30">
        <f t="shared" ca="1" si="40"/>
        <v>120.23133161259319</v>
      </c>
      <c r="E456" s="31">
        <f>+E455*(1+C455*F456/365)</f>
        <v>120.23133161259319</v>
      </c>
      <c r="F456" s="32">
        <f t="shared" si="41"/>
        <v>1</v>
      </c>
      <c r="G456" s="20">
        <f t="shared" ca="1" si="36"/>
        <v>0.13441093572838497</v>
      </c>
      <c r="H456" s="20">
        <f t="shared" ca="1" si="38"/>
        <v>0.13770745678615209</v>
      </c>
      <c r="I456" s="20">
        <f t="shared" ca="1" si="37"/>
        <v>0.14135975435728376</v>
      </c>
      <c r="J456" s="20">
        <f t="shared" ca="1" si="39"/>
        <v>0.14442949663245858</v>
      </c>
      <c r="K456" s="36">
        <v>14</v>
      </c>
    </row>
    <row r="457" spans="1:11" x14ac:dyDescent="0.25">
      <c r="A457" s="13" t="s">
        <v>7</v>
      </c>
      <c r="B457" s="29">
        <v>45021</v>
      </c>
      <c r="C457" s="20">
        <v>0.13</v>
      </c>
      <c r="D457" s="30">
        <f t="shared" ca="1" si="40"/>
        <v>120.2741537307018</v>
      </c>
      <c r="E457" s="31">
        <f>+E456*(1+C456*F457/365)</f>
        <v>120.2741537307018</v>
      </c>
      <c r="F457" s="32">
        <f t="shared" si="41"/>
        <v>1</v>
      </c>
      <c r="G457" s="20">
        <f t="shared" ref="G457:G520" ca="1" si="42">(D457/OFFSET(D457,-7,0)-1)*365/7</f>
        <v>0.13441093572838497</v>
      </c>
      <c r="H457" s="20">
        <f t="shared" ca="1" si="38"/>
        <v>0.13737409606456227</v>
      </c>
      <c r="I457" s="20">
        <f t="shared" ca="1" si="37"/>
        <v>0.14123906763325803</v>
      </c>
      <c r="J457" s="20">
        <f t="shared" ca="1" si="39"/>
        <v>0.14437000692236376</v>
      </c>
      <c r="K457" s="36">
        <v>14</v>
      </c>
    </row>
    <row r="458" spans="1:11" x14ac:dyDescent="0.25">
      <c r="A458" s="13" t="s">
        <v>7</v>
      </c>
      <c r="B458" s="29">
        <v>45022</v>
      </c>
      <c r="C458" s="20">
        <v>0.13</v>
      </c>
      <c r="D458" s="30">
        <f t="shared" ca="1" si="40"/>
        <v>120.31699110052369</v>
      </c>
      <c r="E458" s="31">
        <f>+E457*(1+C457*F458/365)</f>
        <v>120.31699110052369</v>
      </c>
      <c r="F458" s="32">
        <f t="shared" si="41"/>
        <v>1</v>
      </c>
      <c r="G458" s="20">
        <f t="shared" ca="1" si="42"/>
        <v>0.13441093572838497</v>
      </c>
      <c r="H458" s="20">
        <f t="shared" ca="1" si="38"/>
        <v>0.13703712830527148</v>
      </c>
      <c r="I458" s="20">
        <f t="shared" ca="1" si="37"/>
        <v>0.14112413104391713</v>
      </c>
      <c r="J458" s="20">
        <f t="shared" ca="1" si="39"/>
        <v>0.14431051884149862</v>
      </c>
      <c r="K458" s="36">
        <v>14</v>
      </c>
    </row>
    <row r="459" spans="1:11" x14ac:dyDescent="0.25">
      <c r="A459" s="13" t="s">
        <v>7</v>
      </c>
      <c r="B459" s="29">
        <v>45023</v>
      </c>
      <c r="C459" s="20">
        <v>0.13</v>
      </c>
      <c r="D459" s="30">
        <f t="shared" ca="1" si="40"/>
        <v>120.35984372749101</v>
      </c>
      <c r="E459" s="31">
        <f>+E458*(1+C458*F459/365)</f>
        <v>120.35984372749101</v>
      </c>
      <c r="F459" s="32">
        <f t="shared" si="41"/>
        <v>1</v>
      </c>
      <c r="G459" s="20">
        <f t="shared" ca="1" si="42"/>
        <v>0.13441093572838497</v>
      </c>
      <c r="H459" s="20">
        <f t="shared" ca="1" si="38"/>
        <v>0.13670016977443433</v>
      </c>
      <c r="I459" s="20">
        <f t="shared" ca="1" si="37"/>
        <v>0.14100919760231659</v>
      </c>
      <c r="J459" s="20">
        <f t="shared" ca="1" si="39"/>
        <v>0.1442513516927427</v>
      </c>
      <c r="K459" s="36">
        <v>14</v>
      </c>
    </row>
    <row r="460" spans="1:11" x14ac:dyDescent="0.25">
      <c r="A460" s="23" t="s">
        <v>6</v>
      </c>
      <c r="B460" s="24">
        <v>45024</v>
      </c>
      <c r="C460" s="28">
        <v>0.13</v>
      </c>
      <c r="D460" s="25">
        <f t="shared" ca="1" si="40"/>
        <v>120.4027116170378</v>
      </c>
      <c r="E460" s="26">
        <f>+E459*(1+C459*F460/365)</f>
        <v>120.4027116170378</v>
      </c>
      <c r="F460" s="27">
        <f t="shared" si="41"/>
        <v>1</v>
      </c>
      <c r="G460" s="28">
        <f t="shared" ca="1" si="42"/>
        <v>0.13297923095547085</v>
      </c>
      <c r="H460" s="28">
        <f t="shared" ca="1" si="38"/>
        <v>0.13636502910039111</v>
      </c>
      <c r="I460" s="28">
        <f t="shared" ca="1" si="37"/>
        <v>0.14089426730836985</v>
      </c>
      <c r="J460" s="28">
        <f t="shared" ca="1" si="39"/>
        <v>0.1441925052052537</v>
      </c>
      <c r="K460" s="36">
        <v>14</v>
      </c>
    </row>
    <row r="461" spans="1:11" x14ac:dyDescent="0.25">
      <c r="A461" s="23" t="s">
        <v>6</v>
      </c>
      <c r="B461" s="24">
        <v>45025</v>
      </c>
      <c r="C461" s="28">
        <v>0.13</v>
      </c>
      <c r="D461" s="25">
        <f t="shared" ca="1" si="40"/>
        <v>120.44557950658458</v>
      </c>
      <c r="E461" s="26">
        <f>+E459*(1+C460*F461/365)</f>
        <v>120.44557950658458</v>
      </c>
      <c r="F461" s="27">
        <f t="shared" si="41"/>
        <v>2</v>
      </c>
      <c r="G461" s="28">
        <f t="shared" ca="1" si="42"/>
        <v>0.13154862363474881</v>
      </c>
      <c r="H461" s="28">
        <f t="shared" ca="1" si="38"/>
        <v>0.13602652945268534</v>
      </c>
      <c r="I461" s="28">
        <f t="shared" ca="1" si="37"/>
        <v>0.14077942511254712</v>
      </c>
      <c r="J461" s="28">
        <f t="shared" ca="1" si="39"/>
        <v>0.14413274666818809</v>
      </c>
      <c r="K461" s="36">
        <v>14</v>
      </c>
    </row>
    <row r="462" spans="1:11" x14ac:dyDescent="0.25">
      <c r="A462" s="13" t="s">
        <v>7</v>
      </c>
      <c r="B462" s="29">
        <v>45026</v>
      </c>
      <c r="C462" s="20">
        <v>0.13</v>
      </c>
      <c r="D462" s="30">
        <f t="shared" ca="1" si="40"/>
        <v>120.48844739613135</v>
      </c>
      <c r="E462" s="31">
        <f>+E459*(1+C461*F462/365)</f>
        <v>120.48844739613135</v>
      </c>
      <c r="F462" s="32">
        <f t="shared" si="41"/>
        <v>3</v>
      </c>
      <c r="G462" s="20">
        <f t="shared" ca="1" si="42"/>
        <v>0.13011911250481464</v>
      </c>
      <c r="H462" s="20">
        <f t="shared" ca="1" si="38"/>
        <v>0.13568648074779066</v>
      </c>
      <c r="I462" s="20">
        <f t="shared" ca="1" si="37"/>
        <v>0.1406634376411269</v>
      </c>
      <c r="J462" s="20">
        <f t="shared" ca="1" si="39"/>
        <v>0.14407271466143848</v>
      </c>
      <c r="K462" s="36">
        <v>14</v>
      </c>
    </row>
    <row r="463" spans="1:11" x14ac:dyDescent="0.25">
      <c r="A463" s="13" t="s">
        <v>7</v>
      </c>
      <c r="B463" s="29">
        <v>45027</v>
      </c>
      <c r="C463" s="20">
        <v>0.13</v>
      </c>
      <c r="D463" s="30">
        <f t="shared" ca="1" si="40"/>
        <v>120.5313610897245</v>
      </c>
      <c r="E463" s="31">
        <f>+E462*(1+C462*F463/365)</f>
        <v>120.5313610897245</v>
      </c>
      <c r="F463" s="32">
        <f t="shared" si="41"/>
        <v>1</v>
      </c>
      <c r="G463" s="20">
        <f t="shared" ca="1" si="42"/>
        <v>0.13011911250482622</v>
      </c>
      <c r="H463" s="20">
        <f t="shared" ca="1" si="38"/>
        <v>0.13534955920680833</v>
      </c>
      <c r="I463" s="20">
        <f t="shared" ca="1" si="37"/>
        <v>0.14054851681642411</v>
      </c>
      <c r="J463" s="20">
        <f t="shared" ca="1" si="39"/>
        <v>0.14401323472244446</v>
      </c>
      <c r="K463" s="36">
        <v>14</v>
      </c>
    </row>
    <row r="464" spans="1:11" x14ac:dyDescent="0.25">
      <c r="A464" s="13" t="s">
        <v>7</v>
      </c>
      <c r="B464" s="29">
        <v>45028</v>
      </c>
      <c r="C464" s="20">
        <v>0.13</v>
      </c>
      <c r="D464" s="30">
        <f t="shared" ca="1" si="40"/>
        <v>120.57429006764687</v>
      </c>
      <c r="E464" s="31">
        <f>+E463*(1+C463*F464/365)</f>
        <v>120.57429006764687</v>
      </c>
      <c r="F464" s="32">
        <f t="shared" si="41"/>
        <v>1</v>
      </c>
      <c r="G464" s="20">
        <f t="shared" ca="1" si="42"/>
        <v>0.13011911250482622</v>
      </c>
      <c r="H464" s="20">
        <f t="shared" ca="1" si="38"/>
        <v>0.13501445532306514</v>
      </c>
      <c r="I464" s="20">
        <f t="shared" ca="1" si="37"/>
        <v>0.14043359913902934</v>
      </c>
      <c r="J464" s="20">
        <f t="shared" ca="1" si="39"/>
        <v>0.14395375641241223</v>
      </c>
      <c r="K464" s="36">
        <v>14</v>
      </c>
    </row>
    <row r="465" spans="1:11" x14ac:dyDescent="0.25">
      <c r="A465" s="13" t="s">
        <v>7</v>
      </c>
      <c r="B465" s="29">
        <v>45029</v>
      </c>
      <c r="C465" s="20">
        <v>0.13</v>
      </c>
      <c r="D465" s="30">
        <f t="shared" ca="1" si="40"/>
        <v>120.6172343353422</v>
      </c>
      <c r="E465" s="31">
        <f>+E464*(1+C464*F465/365)</f>
        <v>120.6172343353422</v>
      </c>
      <c r="F465" s="32">
        <f t="shared" si="41"/>
        <v>1</v>
      </c>
      <c r="G465" s="20">
        <f t="shared" ca="1" si="42"/>
        <v>0.13011911250482622</v>
      </c>
      <c r="H465" s="20">
        <f t="shared" ca="1" si="38"/>
        <v>0.1346775521866774</v>
      </c>
      <c r="I465" s="20">
        <f t="shared" ca="1" si="37"/>
        <v>0.14031868460885707</v>
      </c>
      <c r="J465" s="20">
        <f t="shared" ca="1" si="39"/>
        <v>0.14389427973129862</v>
      </c>
      <c r="K465" s="36">
        <v>14</v>
      </c>
    </row>
    <row r="466" spans="1:11" x14ac:dyDescent="0.25">
      <c r="A466" s="13" t="s">
        <v>7</v>
      </c>
      <c r="B466" s="29">
        <v>45030</v>
      </c>
      <c r="C466" s="20">
        <v>0.13</v>
      </c>
      <c r="D466" s="30">
        <f t="shared" ca="1" si="40"/>
        <v>120.66019389825617</v>
      </c>
      <c r="E466" s="31">
        <f>+E465*(1+C465*F466/365)</f>
        <v>120.66019389825617</v>
      </c>
      <c r="F466" s="32">
        <f t="shared" si="41"/>
        <v>1</v>
      </c>
      <c r="G466" s="20">
        <f t="shared" ca="1" si="42"/>
        <v>0.13011911250482622</v>
      </c>
      <c r="H466" s="20">
        <f t="shared" ca="1" si="38"/>
        <v>0.13434065827697653</v>
      </c>
      <c r="I466" s="20">
        <f t="shared" ca="1" si="37"/>
        <v>0.14020377322582178</v>
      </c>
      <c r="J466" s="20">
        <f t="shared" ca="1" si="39"/>
        <v>0.14383512392079309</v>
      </c>
      <c r="K466" s="36">
        <v>14</v>
      </c>
    </row>
    <row r="467" spans="1:11" x14ac:dyDescent="0.25">
      <c r="A467" s="23" t="s">
        <v>6</v>
      </c>
      <c r="B467" s="24">
        <v>45031</v>
      </c>
      <c r="C467" s="28">
        <v>0.13</v>
      </c>
      <c r="D467" s="25">
        <f t="shared" ca="1" si="40"/>
        <v>120.70316876183637</v>
      </c>
      <c r="E467" s="26">
        <f>+E466*(1+C466*F467/365)</f>
        <v>120.70316876183637</v>
      </c>
      <c r="F467" s="27">
        <f t="shared" si="41"/>
        <v>1</v>
      </c>
      <c r="G467" s="28">
        <f t="shared" ca="1" si="42"/>
        <v>0.13011911250481464</v>
      </c>
      <c r="H467" s="28">
        <f t="shared" ca="1" si="38"/>
        <v>0.13400377359370583</v>
      </c>
      <c r="I467" s="28">
        <f t="shared" ca="1" si="37"/>
        <v>0.14008948177793804</v>
      </c>
      <c r="J467" s="28">
        <f t="shared" ca="1" si="39"/>
        <v>0.14377628871010611</v>
      </c>
      <c r="K467" s="36">
        <v>14</v>
      </c>
    </row>
    <row r="468" spans="1:11" x14ac:dyDescent="0.25">
      <c r="A468" s="23" t="s">
        <v>6</v>
      </c>
      <c r="B468" s="24">
        <v>45032</v>
      </c>
      <c r="C468" s="28">
        <v>0.13</v>
      </c>
      <c r="D468" s="25">
        <f t="shared" ca="1" si="40"/>
        <v>120.74614362541658</v>
      </c>
      <c r="E468" s="26">
        <f>+E466*(1+C467*F468/365)</f>
        <v>120.74614362541658</v>
      </c>
      <c r="F468" s="27">
        <f t="shared" si="41"/>
        <v>2</v>
      </c>
      <c r="G468" s="28">
        <f t="shared" ca="1" si="42"/>
        <v>0.13011911250482622</v>
      </c>
      <c r="H468" s="28">
        <f t="shared" ca="1" si="38"/>
        <v>0.1336653389124394</v>
      </c>
      <c r="I468" s="28">
        <f t="shared" ca="1" si="37"/>
        <v>0.13997527790491557</v>
      </c>
      <c r="J468" s="28">
        <f t="shared" ca="1" si="39"/>
        <v>0.14371654162461883</v>
      </c>
      <c r="K468" s="36">
        <v>14</v>
      </c>
    </row>
    <row r="469" spans="1:11" x14ac:dyDescent="0.25">
      <c r="A469" s="13" t="s">
        <v>7</v>
      </c>
      <c r="B469" s="29">
        <v>45033</v>
      </c>
      <c r="C469" s="20">
        <v>0.13</v>
      </c>
      <c r="D469" s="30">
        <f t="shared" ca="1" si="40"/>
        <v>120.78911848899678</v>
      </c>
      <c r="E469" s="31">
        <f>+E466*(1+C468*F469/365)</f>
        <v>120.78911848899678</v>
      </c>
      <c r="F469" s="32">
        <f t="shared" si="41"/>
        <v>3</v>
      </c>
      <c r="G469" s="20">
        <f t="shared" ca="1" si="42"/>
        <v>0.13011911250482622</v>
      </c>
      <c r="H469" s="20">
        <f t="shared" ca="1" si="38"/>
        <v>0.1333253554712861</v>
      </c>
      <c r="I469" s="20">
        <f t="shared" ca="1" si="37"/>
        <v>0.13985931266027124</v>
      </c>
      <c r="J469" s="20">
        <f t="shared" ca="1" si="39"/>
        <v>0.14365652112185343</v>
      </c>
      <c r="K469" s="36">
        <v>14</v>
      </c>
    </row>
    <row r="470" spans="1:11" x14ac:dyDescent="0.25">
      <c r="A470" s="13" t="s">
        <v>7</v>
      </c>
      <c r="B470" s="29">
        <v>45034</v>
      </c>
      <c r="C470" s="20">
        <v>0.13</v>
      </c>
      <c r="D470" s="30">
        <f t="shared" ca="1" si="40"/>
        <v>120.83213927092437</v>
      </c>
      <c r="E470" s="31">
        <f>+E469*(1+C469*F470/365)</f>
        <v>120.83213927092437</v>
      </c>
      <c r="F470" s="32">
        <f t="shared" si="41"/>
        <v>1</v>
      </c>
      <c r="G470" s="20">
        <f t="shared" ca="1" si="42"/>
        <v>0.13011911250482622</v>
      </c>
      <c r="H470" s="20">
        <f t="shared" ca="1" si="38"/>
        <v>0.13299030672635076</v>
      </c>
      <c r="I470" s="20">
        <f t="shared" ca="1" si="37"/>
        <v>0.13974441385794295</v>
      </c>
      <c r="J470" s="20">
        <f t="shared" ca="1" si="39"/>
        <v>0.14359705258104985</v>
      </c>
      <c r="K470" s="36">
        <v>14</v>
      </c>
    </row>
    <row r="471" spans="1:11" x14ac:dyDescent="0.25">
      <c r="A471" s="13" t="s">
        <v>7</v>
      </c>
      <c r="B471" s="29">
        <v>45035</v>
      </c>
      <c r="C471" s="20">
        <v>0.13</v>
      </c>
      <c r="D471" s="30">
        <f t="shared" ca="1" si="40"/>
        <v>120.87517537532224</v>
      </c>
      <c r="E471" s="31">
        <f>+E470*(1+C470*F471/365)</f>
        <v>120.87517537532224</v>
      </c>
      <c r="F471" s="32">
        <f t="shared" si="41"/>
        <v>1</v>
      </c>
      <c r="G471" s="20">
        <f t="shared" ca="1" si="42"/>
        <v>0.13011911250482622</v>
      </c>
      <c r="H471" s="20">
        <f t="shared" ca="1" si="38"/>
        <v>0.13265707380586039</v>
      </c>
      <c r="I471" s="20">
        <f t="shared" ca="1" si="37"/>
        <v>0.13962951820232025</v>
      </c>
      <c r="J471" s="20">
        <f t="shared" ca="1" si="39"/>
        <v>0.14353758566889696</v>
      </c>
      <c r="K471" s="36">
        <v>14</v>
      </c>
    </row>
    <row r="472" spans="1:11" x14ac:dyDescent="0.25">
      <c r="A472" s="13" t="s">
        <v>7</v>
      </c>
      <c r="B472" s="29">
        <v>45036</v>
      </c>
      <c r="C472" s="20">
        <v>0.13</v>
      </c>
      <c r="D472" s="30">
        <f t="shared" ca="1" si="40"/>
        <v>120.9182268076477</v>
      </c>
      <c r="E472" s="31">
        <f>+E471*(1+C471*F472/365)</f>
        <v>120.9182268076477</v>
      </c>
      <c r="F472" s="32">
        <f t="shared" si="41"/>
        <v>1</v>
      </c>
      <c r="G472" s="20">
        <f t="shared" ca="1" si="42"/>
        <v>0.13011911250482622</v>
      </c>
      <c r="H472" s="20">
        <f t="shared" ca="1" si="38"/>
        <v>0.13232565517865624</v>
      </c>
      <c r="I472" s="20">
        <f t="shared" ca="1" si="37"/>
        <v>0.13951462569331669</v>
      </c>
      <c r="J472" s="20">
        <f t="shared" ca="1" si="39"/>
        <v>0.14347812038534924</v>
      </c>
      <c r="K472" s="36">
        <v>14</v>
      </c>
    </row>
    <row r="473" spans="1:11" x14ac:dyDescent="0.25">
      <c r="A473" s="23" t="s">
        <v>6</v>
      </c>
      <c r="B473" s="24">
        <v>45037</v>
      </c>
      <c r="C473" s="28">
        <v>0.13</v>
      </c>
      <c r="D473" s="25">
        <f t="shared" ca="1" si="40"/>
        <v>120.96129357336001</v>
      </c>
      <c r="E473" s="26">
        <f>+E472*(1+C472*F473/365)</f>
        <v>120.96129357336001</v>
      </c>
      <c r="F473" s="27">
        <f t="shared" si="41"/>
        <v>1</v>
      </c>
      <c r="G473" s="28">
        <f t="shared" ca="1" si="42"/>
        <v>0.13011911250481464</v>
      </c>
      <c r="H473" s="28">
        <f t="shared" ca="1" si="38"/>
        <v>0.13199604931612716</v>
      </c>
      <c r="I473" s="28">
        <f t="shared" ca="1" si="37"/>
        <v>0.13939973633084493</v>
      </c>
      <c r="J473" s="28">
        <f t="shared" ca="1" si="39"/>
        <v>0.14341897591092165</v>
      </c>
      <c r="K473" s="36">
        <v>14</v>
      </c>
    </row>
    <row r="474" spans="1:11" x14ac:dyDescent="0.25">
      <c r="A474" s="23" t="s">
        <v>6</v>
      </c>
      <c r="B474" s="24">
        <v>45038</v>
      </c>
      <c r="C474" s="28">
        <v>0.13</v>
      </c>
      <c r="D474" s="25">
        <f t="shared" ca="1" si="40"/>
        <v>121.00436033907233</v>
      </c>
      <c r="E474" s="26">
        <f>+E472*(1+C473*F474/365)</f>
        <v>121.00436033907233</v>
      </c>
      <c r="F474" s="27">
        <f t="shared" si="41"/>
        <v>2</v>
      </c>
      <c r="G474" s="28">
        <f t="shared" ca="1" si="42"/>
        <v>0.13011248623833055</v>
      </c>
      <c r="H474" s="28">
        <f t="shared" ca="1" si="38"/>
        <v>0.13166669572136652</v>
      </c>
      <c r="I474" s="28">
        <f t="shared" ca="1" si="37"/>
        <v>0.13928493503512418</v>
      </c>
      <c r="J474" s="28">
        <f t="shared" ca="1" si="39"/>
        <v>0.14335987675544951</v>
      </c>
      <c r="K474" s="36">
        <v>14</v>
      </c>
    </row>
    <row r="475" spans="1:11" x14ac:dyDescent="0.25">
      <c r="A475" s="23" t="s">
        <v>6</v>
      </c>
      <c r="B475" s="24">
        <v>45039</v>
      </c>
      <c r="C475" s="28">
        <v>0.13</v>
      </c>
      <c r="D475" s="25">
        <f t="shared" ca="1" si="40"/>
        <v>121.04742710478465</v>
      </c>
      <c r="E475" s="26">
        <f>+E474*(1+C474*F475/365)</f>
        <v>121.13365266929766</v>
      </c>
      <c r="F475" s="27">
        <f t="shared" si="41"/>
        <v>3</v>
      </c>
      <c r="G475" s="28">
        <f t="shared" ca="1" si="42"/>
        <v>0.13010586468854318</v>
      </c>
      <c r="H475" s="28">
        <f t="shared" ca="1" si="38"/>
        <v>0.1316635788898311</v>
      </c>
      <c r="I475" s="28">
        <f t="shared" ca="1" si="37"/>
        <v>0.13917022170492668</v>
      </c>
      <c r="J475" s="28">
        <f t="shared" ca="1" si="39"/>
        <v>0.14329986611096684</v>
      </c>
      <c r="K475" s="36">
        <v>14</v>
      </c>
    </row>
    <row r="476" spans="1:11" x14ac:dyDescent="0.25">
      <c r="A476" s="23" t="s">
        <v>6</v>
      </c>
      <c r="B476" s="24">
        <v>45040</v>
      </c>
      <c r="C476" s="28">
        <v>0.13</v>
      </c>
      <c r="D476" s="25">
        <f t="shared" ca="1" si="40"/>
        <v>121.09049387049694</v>
      </c>
      <c r="E476" s="26">
        <f>+E474*(1+C475*F476/365)</f>
        <v>121.17675011270607</v>
      </c>
      <c r="F476" s="27">
        <f t="shared" si="41"/>
        <v>4</v>
      </c>
      <c r="G476" s="28">
        <f t="shared" ca="1" si="42"/>
        <v>0.13009924785045082</v>
      </c>
      <c r="H476" s="28">
        <f t="shared" ca="1" si="38"/>
        <v>0.13165833271232968</v>
      </c>
      <c r="I476" s="28">
        <f t="shared" ref="I476:I539" ca="1" si="43">($D476/OFFSET($D476,-90,0)-1)*365/90</f>
        <v>0.13905374774832605</v>
      </c>
      <c r="J476" s="28">
        <f t="shared" ca="1" si="39"/>
        <v>0.14323958231252584</v>
      </c>
      <c r="K476" s="36">
        <v>14</v>
      </c>
    </row>
    <row r="477" spans="1:11" x14ac:dyDescent="0.25">
      <c r="A477" s="13" t="s">
        <v>7</v>
      </c>
      <c r="B477" s="29">
        <v>45041</v>
      </c>
      <c r="C477" s="20">
        <v>0.13</v>
      </c>
      <c r="D477" s="30">
        <f t="shared" ca="1" si="40"/>
        <v>121.13356063620925</v>
      </c>
      <c r="E477" s="31">
        <f>+E472*(1+C476*F477/365)</f>
        <v>121.13356063620925</v>
      </c>
      <c r="F477" s="32">
        <f t="shared" si="41"/>
        <v>5</v>
      </c>
      <c r="G477" s="20">
        <f t="shared" ca="1" si="42"/>
        <v>0.13007277107471452</v>
      </c>
      <c r="H477" s="20">
        <f t="shared" ca="1" si="38"/>
        <v>0.13165210348759357</v>
      </c>
      <c r="I477" s="20">
        <f t="shared" ca="1" si="43"/>
        <v>0.13893674645438739</v>
      </c>
      <c r="J477" s="20">
        <f t="shared" ca="1" si="39"/>
        <v>0.14317902557841164</v>
      </c>
      <c r="K477" s="36">
        <v>14</v>
      </c>
    </row>
    <row r="478" spans="1:11" x14ac:dyDescent="0.25">
      <c r="A478" s="13" t="s">
        <v>7</v>
      </c>
      <c r="B478" s="29">
        <v>45042</v>
      </c>
      <c r="C478" s="20">
        <v>0.13</v>
      </c>
      <c r="D478" s="30">
        <f t="shared" ca="1" si="40"/>
        <v>121.17670409616188</v>
      </c>
      <c r="E478" s="31">
        <f>+E477*(1+C477*F478/365)</f>
        <v>121.17670409616188</v>
      </c>
      <c r="F478" s="32">
        <f t="shared" si="41"/>
        <v>1</v>
      </c>
      <c r="G478" s="20">
        <f t="shared" ca="1" si="42"/>
        <v>0.13007277107471452</v>
      </c>
      <c r="H478" s="20">
        <f t="shared" ca="1" si="38"/>
        <v>0.13165366245656429</v>
      </c>
      <c r="I478" s="20">
        <f t="shared" ca="1" si="43"/>
        <v>0.13882187291815429</v>
      </c>
      <c r="J478" s="20">
        <f t="shared" ca="1" si="39"/>
        <v>0.14311957011466184</v>
      </c>
      <c r="K478" s="36">
        <v>14</v>
      </c>
    </row>
    <row r="479" spans="1:11" x14ac:dyDescent="0.25">
      <c r="A479" s="13" t="s">
        <v>7</v>
      </c>
      <c r="B479" s="29">
        <v>45043</v>
      </c>
      <c r="C479" s="20">
        <v>0.13</v>
      </c>
      <c r="D479" s="30">
        <f t="shared" ca="1" si="40"/>
        <v>121.21986292227832</v>
      </c>
      <c r="E479" s="31">
        <f>+E478*(1+C478*F479/365)</f>
        <v>121.21986292227832</v>
      </c>
      <c r="F479" s="32">
        <f t="shared" si="41"/>
        <v>1</v>
      </c>
      <c r="G479" s="20">
        <f t="shared" ca="1" si="42"/>
        <v>0.13007277107471452</v>
      </c>
      <c r="H479" s="20">
        <f t="shared" ca="1" si="38"/>
        <v>0.13165366245656429</v>
      </c>
      <c r="I479" s="20">
        <f t="shared" ca="1" si="43"/>
        <v>0.13870700252793428</v>
      </c>
      <c r="J479" s="20">
        <f t="shared" ca="1" si="39"/>
        <v>0.14306011627920434</v>
      </c>
      <c r="K479" s="36">
        <v>14</v>
      </c>
    </row>
    <row r="480" spans="1:11" x14ac:dyDescent="0.25">
      <c r="A480" s="13" t="s">
        <v>7</v>
      </c>
      <c r="B480" s="29">
        <v>45044</v>
      </c>
      <c r="C480" s="20">
        <v>0.13253552397868601</v>
      </c>
      <c r="D480" s="30">
        <f t="shared" ca="1" si="40"/>
        <v>121.26303712003147</v>
      </c>
      <c r="E480" s="31">
        <f>+E479*(1+C479*F480/365)</f>
        <v>121.26303712003147</v>
      </c>
      <c r="F480" s="32">
        <f t="shared" si="41"/>
        <v>1</v>
      </c>
      <c r="G480" s="20">
        <f t="shared" ca="1" si="42"/>
        <v>0.13007277107471452</v>
      </c>
      <c r="H480" s="20">
        <f t="shared" ref="H480:H543" ca="1" si="44">($D480/OFFSET($D480,-30,0)-1)*365/30</f>
        <v>0.1316536624565616</v>
      </c>
      <c r="I480" s="20">
        <f t="shared" ca="1" si="43"/>
        <v>0.13859213528364181</v>
      </c>
      <c r="J480" s="20">
        <f t="shared" ca="1" si="39"/>
        <v>0.14300098319110516</v>
      </c>
      <c r="K480" s="36">
        <v>14</v>
      </c>
    </row>
    <row r="481" spans="1:11" x14ac:dyDescent="0.25">
      <c r="A481" s="23" t="s">
        <v>6</v>
      </c>
      <c r="B481" s="24">
        <v>45045</v>
      </c>
      <c r="C481" s="28">
        <v>0.13253552397868601</v>
      </c>
      <c r="D481" s="25">
        <f t="shared" ca="1" si="40"/>
        <v>121.30706906568614</v>
      </c>
      <c r="E481" s="26">
        <f>+E480*(1+C480*F481/365)</f>
        <v>121.30706906568614</v>
      </c>
      <c r="F481" s="27">
        <f t="shared" si="41"/>
        <v>1</v>
      </c>
      <c r="G481" s="28">
        <f t="shared" ca="1" si="42"/>
        <v>0.13044238937746405</v>
      </c>
      <c r="H481" s="28">
        <f t="shared" ca="1" si="44"/>
        <v>0.13173906405624658</v>
      </c>
      <c r="I481" s="28">
        <f t="shared" ca="1" si="43"/>
        <v>0.13850701180825167</v>
      </c>
      <c r="J481" s="28">
        <f t="shared" ca="1" si="39"/>
        <v>0.14295724442318683</v>
      </c>
      <c r="K481" s="36">
        <v>14</v>
      </c>
    </row>
    <row r="482" spans="1:11" x14ac:dyDescent="0.25">
      <c r="A482" s="23" t="s">
        <v>6</v>
      </c>
      <c r="B482" s="24">
        <v>45046</v>
      </c>
      <c r="C482" s="28">
        <v>0.13253552397868601</v>
      </c>
      <c r="D482" s="25">
        <f t="shared" ca="1" si="40"/>
        <v>121.3511010113408</v>
      </c>
      <c r="E482" s="26">
        <f>+E480*(1+C481*F482/365)</f>
        <v>121.3511010113408</v>
      </c>
      <c r="F482" s="27">
        <f t="shared" si="41"/>
        <v>2</v>
      </c>
      <c r="G482" s="28">
        <f t="shared" ca="1" si="42"/>
        <v>0.1308117446714861</v>
      </c>
      <c r="H482" s="28">
        <f t="shared" ca="1" si="44"/>
        <v>0.13182284587460263</v>
      </c>
      <c r="I482" s="28">
        <f t="shared" ca="1" si="43"/>
        <v>0.13842195355800688</v>
      </c>
      <c r="J482" s="28">
        <f t="shared" ca="1" si="39"/>
        <v>0.1429125825716667</v>
      </c>
      <c r="K482" s="36">
        <v>14</v>
      </c>
    </row>
    <row r="483" spans="1:11" x14ac:dyDescent="0.25">
      <c r="A483" s="13" t="s">
        <v>7</v>
      </c>
      <c r="B483" s="29">
        <v>45047</v>
      </c>
      <c r="C483" s="20">
        <v>0.13</v>
      </c>
      <c r="D483" s="30">
        <f t="shared" ca="1" si="40"/>
        <v>121.39513295699544</v>
      </c>
      <c r="E483" s="31">
        <f>+E480*(1+C482*F483/365)</f>
        <v>121.39513295699544</v>
      </c>
      <c r="F483" s="32">
        <f t="shared" si="41"/>
        <v>3</v>
      </c>
      <c r="G483" s="20">
        <f t="shared" ca="1" si="42"/>
        <v>0.13118083723739762</v>
      </c>
      <c r="H483" s="20">
        <f t="shared" ca="1" si="44"/>
        <v>0.13156819107546691</v>
      </c>
      <c r="I483" s="20">
        <f t="shared" ca="1" si="43"/>
        <v>0.13833511228379425</v>
      </c>
      <c r="J483" s="20">
        <f t="shared" ca="1" si="39"/>
        <v>0.14286763585547568</v>
      </c>
      <c r="K483" s="36">
        <v>14</v>
      </c>
    </row>
    <row r="484" spans="1:11" x14ac:dyDescent="0.25">
      <c r="A484" s="13" t="s">
        <v>7</v>
      </c>
      <c r="B484" s="29">
        <v>45048</v>
      </c>
      <c r="C484" s="20">
        <v>0.13</v>
      </c>
      <c r="D484" s="30">
        <f t="shared" ca="1" si="40"/>
        <v>121.43836957969245</v>
      </c>
      <c r="E484" s="31">
        <f>+E483*(1+C483*F484/365)</f>
        <v>121.43836957969245</v>
      </c>
      <c r="F484" s="32">
        <f t="shared" si="41"/>
        <v>1</v>
      </c>
      <c r="G484" s="20">
        <f t="shared" ca="1" si="42"/>
        <v>0.13120731457437942</v>
      </c>
      <c r="H484" s="20">
        <f t="shared" ca="1" si="44"/>
        <v>0.13123319019525739</v>
      </c>
      <c r="I484" s="20">
        <f t="shared" ca="1" si="43"/>
        <v>0.13822025522436909</v>
      </c>
      <c r="J484" s="20">
        <f t="shared" ca="1" si="39"/>
        <v>0.14280818891967986</v>
      </c>
      <c r="K484" s="36">
        <v>14</v>
      </c>
    </row>
    <row r="485" spans="1:11" x14ac:dyDescent="0.25">
      <c r="A485" s="13" t="s">
        <v>7</v>
      </c>
      <c r="B485" s="29">
        <v>45049</v>
      </c>
      <c r="C485" s="20">
        <v>0.13</v>
      </c>
      <c r="D485" s="30">
        <f t="shared" ca="1" si="40"/>
        <v>121.48162160173453</v>
      </c>
      <c r="E485" s="31">
        <f>+E484*(1+C484*F485/365)</f>
        <v>121.48162160173453</v>
      </c>
      <c r="F485" s="32">
        <f t="shared" si="41"/>
        <v>1</v>
      </c>
      <c r="G485" s="20">
        <f t="shared" ca="1" si="42"/>
        <v>0.13120731457436782</v>
      </c>
      <c r="H485" s="20">
        <f t="shared" ca="1" si="44"/>
        <v>0.13090000488007994</v>
      </c>
      <c r="I485" s="20">
        <f t="shared" ca="1" si="43"/>
        <v>0.13810540131050678</v>
      </c>
      <c r="J485" s="20">
        <f t="shared" ca="1" si="39"/>
        <v>0.14274874361194309</v>
      </c>
      <c r="K485" s="36">
        <v>14</v>
      </c>
    </row>
    <row r="486" spans="1:11" x14ac:dyDescent="0.25">
      <c r="A486" s="13" t="s">
        <v>7</v>
      </c>
      <c r="B486" s="29">
        <v>45050</v>
      </c>
      <c r="C486" s="20">
        <v>0.13</v>
      </c>
      <c r="D486" s="30">
        <f t="shared" ca="1" si="40"/>
        <v>121.52488902860638</v>
      </c>
      <c r="E486" s="31">
        <f>+E485*(1+C485*F486/365)</f>
        <v>121.52488902860638</v>
      </c>
      <c r="F486" s="32">
        <f t="shared" si="41"/>
        <v>1</v>
      </c>
      <c r="G486" s="20">
        <f t="shared" ca="1" si="42"/>
        <v>0.13120731457437942</v>
      </c>
      <c r="H486" s="20">
        <f t="shared" ca="1" si="44"/>
        <v>0.13090000488007994</v>
      </c>
      <c r="I486" s="20">
        <f t="shared" ca="1" si="43"/>
        <v>0.13799055054211995</v>
      </c>
      <c r="J486" s="20">
        <f t="shared" ca="1" si="39"/>
        <v>0.14268929993222032</v>
      </c>
      <c r="K486" s="36">
        <v>14</v>
      </c>
    </row>
    <row r="487" spans="1:11" x14ac:dyDescent="0.25">
      <c r="A487" s="13" t="s">
        <v>7</v>
      </c>
      <c r="B487" s="29">
        <v>45051</v>
      </c>
      <c r="C487" s="20">
        <v>0.13</v>
      </c>
      <c r="D487" s="30">
        <f t="shared" ca="1" si="40"/>
        <v>121.56817186579465</v>
      </c>
      <c r="E487" s="31">
        <f>+E486*(1+C486*F487/365)</f>
        <v>121.56817186579465</v>
      </c>
      <c r="F487" s="32">
        <f t="shared" si="41"/>
        <v>1</v>
      </c>
      <c r="G487" s="20">
        <f t="shared" ca="1" si="42"/>
        <v>0.13120731457436782</v>
      </c>
      <c r="H487" s="20">
        <f t="shared" ca="1" si="44"/>
        <v>0.13090000488007994</v>
      </c>
      <c r="I487" s="20">
        <f t="shared" ca="1" si="43"/>
        <v>0.13787570291912307</v>
      </c>
      <c r="J487" s="20">
        <f t="shared" ca="1" si="39"/>
        <v>0.14263017694506724</v>
      </c>
      <c r="K487" s="36">
        <v>14</v>
      </c>
    </row>
    <row r="488" spans="1:11" x14ac:dyDescent="0.25">
      <c r="A488" s="23" t="s">
        <v>6</v>
      </c>
      <c r="B488" s="24">
        <v>45052</v>
      </c>
      <c r="C488" s="28">
        <v>0.13</v>
      </c>
      <c r="D488" s="25">
        <f t="shared" ca="1" si="40"/>
        <v>121.61147011878795</v>
      </c>
      <c r="E488" s="26">
        <f>+E487*(1+C487*F488/365)</f>
        <v>121.61147011878795</v>
      </c>
      <c r="F488" s="27">
        <f t="shared" si="41"/>
        <v>1</v>
      </c>
      <c r="G488" s="28">
        <f t="shared" ca="1" si="42"/>
        <v>0.13084431722135056</v>
      </c>
      <c r="H488" s="28">
        <f t="shared" ca="1" si="44"/>
        <v>0.13090000488007994</v>
      </c>
      <c r="I488" s="28">
        <f t="shared" ca="1" si="43"/>
        <v>0.13776147488730023</v>
      </c>
      <c r="J488" s="28">
        <f t="shared" ca="1" si="39"/>
        <v>0.14257137437984335</v>
      </c>
      <c r="K488" s="36">
        <v>14</v>
      </c>
    </row>
    <row r="489" spans="1:11" x14ac:dyDescent="0.25">
      <c r="A489" s="23" t="s">
        <v>6</v>
      </c>
      <c r="B489" s="24">
        <v>45053</v>
      </c>
      <c r="C489" s="28">
        <v>0.13</v>
      </c>
      <c r="D489" s="25">
        <f t="shared" ca="1" si="40"/>
        <v>121.65476837178126</v>
      </c>
      <c r="E489" s="26">
        <f>+E487*(1+C488*F489/365)</f>
        <v>121.65476837178126</v>
      </c>
      <c r="F489" s="27">
        <f t="shared" si="41"/>
        <v>2</v>
      </c>
      <c r="G489" s="28">
        <f t="shared" ca="1" si="42"/>
        <v>0.13048158329371976</v>
      </c>
      <c r="H489" s="28">
        <f t="shared" ca="1" si="44"/>
        <v>0.13089844600664657</v>
      </c>
      <c r="I489" s="28">
        <f t="shared" ca="1" si="43"/>
        <v>0.13764733438174512</v>
      </c>
      <c r="J489" s="28">
        <f t="shared" ca="1" si="39"/>
        <v>0.14251166044578475</v>
      </c>
      <c r="K489" s="36">
        <v>14</v>
      </c>
    </row>
    <row r="490" spans="1:11" x14ac:dyDescent="0.25">
      <c r="A490" s="13" t="s">
        <v>7</v>
      </c>
      <c r="B490" s="29">
        <v>45054</v>
      </c>
      <c r="C490" s="20">
        <v>0.13</v>
      </c>
      <c r="D490" s="30">
        <f t="shared" ca="1" si="40"/>
        <v>121.69806662477455</v>
      </c>
      <c r="E490" s="31">
        <f>+E487*(1+C489*F490/365)</f>
        <v>121.69806662477455</v>
      </c>
      <c r="F490" s="32">
        <f t="shared" si="41"/>
        <v>3</v>
      </c>
      <c r="G490" s="20">
        <f t="shared" ca="1" si="42"/>
        <v>0.13011911250481464</v>
      </c>
      <c r="H490" s="20">
        <f t="shared" ca="1" si="44"/>
        <v>0.1308953293698113</v>
      </c>
      <c r="I490" s="20">
        <f t="shared" ca="1" si="43"/>
        <v>0.13753143348188906</v>
      </c>
      <c r="J490" s="20">
        <f t="shared" ca="1" si="39"/>
        <v>0.14245167324615676</v>
      </c>
      <c r="K490" s="36">
        <v>14</v>
      </c>
    </row>
    <row r="491" spans="1:11" x14ac:dyDescent="0.25">
      <c r="A491" s="23" t="s">
        <v>6</v>
      </c>
      <c r="B491" s="24">
        <v>45055</v>
      </c>
      <c r="C491" s="28">
        <v>0.13</v>
      </c>
      <c r="D491" s="25">
        <f t="shared" ca="1" si="40"/>
        <v>121.74141114165461</v>
      </c>
      <c r="E491" s="26">
        <f>+E490*(1+C490*F491/365)</f>
        <v>121.74141114165461</v>
      </c>
      <c r="F491" s="27">
        <f t="shared" si="41"/>
        <v>1</v>
      </c>
      <c r="G491" s="28">
        <f t="shared" ca="1" si="42"/>
        <v>0.13011911250481464</v>
      </c>
      <c r="H491" s="28">
        <f t="shared" ca="1" si="44"/>
        <v>0.13089688824285026</v>
      </c>
      <c r="I491" s="28">
        <f t="shared" ca="1" si="43"/>
        <v>0.1374165984326193</v>
      </c>
      <c r="J491" s="28">
        <f t="shared" ca="1" si="39"/>
        <v>0.14239223770222798</v>
      </c>
      <c r="K491" s="36">
        <v>14</v>
      </c>
    </row>
    <row r="492" spans="1:11" x14ac:dyDescent="0.25">
      <c r="A492" s="13" t="s">
        <v>7</v>
      </c>
      <c r="B492" s="29">
        <v>45056</v>
      </c>
      <c r="C492" s="20">
        <v>0.13058500000000001</v>
      </c>
      <c r="D492" s="30">
        <f t="shared" ca="1" si="40"/>
        <v>121.78475565853468</v>
      </c>
      <c r="E492" s="31">
        <f>+E490*(1+C491*F492/365)</f>
        <v>121.78475565853468</v>
      </c>
      <c r="F492" s="32">
        <f t="shared" si="41"/>
        <v>2</v>
      </c>
      <c r="G492" s="20">
        <f t="shared" ca="1" si="42"/>
        <v>0.13011248623831898</v>
      </c>
      <c r="H492" s="20">
        <f t="shared" ca="1" si="44"/>
        <v>0.13089844600664657</v>
      </c>
      <c r="I492" s="20">
        <f t="shared" ca="1" si="43"/>
        <v>0.13730123503016209</v>
      </c>
      <c r="J492" s="20">
        <f t="shared" ca="1" si="39"/>
        <v>0.14233252869684904</v>
      </c>
      <c r="K492" s="36">
        <v>14</v>
      </c>
    </row>
    <row r="493" spans="1:11" x14ac:dyDescent="0.25">
      <c r="A493" s="13" t="s">
        <v>7</v>
      </c>
      <c r="B493" s="29">
        <v>45057</v>
      </c>
      <c r="C493" s="20">
        <v>0.133712</v>
      </c>
      <c r="D493" s="30">
        <f t="shared" ca="1" si="40"/>
        <v>121.82832624022693</v>
      </c>
      <c r="E493" s="31">
        <f>+E492*(1+C492*F493/365)</f>
        <v>121.82832624022693</v>
      </c>
      <c r="F493" s="32">
        <f t="shared" si="41"/>
        <v>1</v>
      </c>
      <c r="G493" s="20">
        <f t="shared" ca="1" si="42"/>
        <v>0.13019623637453109</v>
      </c>
      <c r="H493" s="20">
        <f t="shared" ca="1" si="44"/>
        <v>0.13091814878535721</v>
      </c>
      <c r="I493" s="20">
        <f t="shared" ca="1" si="43"/>
        <v>0.13719312376685644</v>
      </c>
      <c r="J493" s="20">
        <f t="shared" ca="1" si="39"/>
        <v>0.14227657320433809</v>
      </c>
      <c r="K493" s="36">
        <v>14</v>
      </c>
    </row>
    <row r="494" spans="1:11" x14ac:dyDescent="0.25">
      <c r="A494" s="13" t="s">
        <v>7</v>
      </c>
      <c r="B494" s="29">
        <v>45058</v>
      </c>
      <c r="C494" s="20">
        <v>0.13423599999999999</v>
      </c>
      <c r="D494" s="30">
        <f t="shared" ca="1" si="40"/>
        <v>121.87295612833168</v>
      </c>
      <c r="E494" s="31">
        <f>+E493*(1+C493*F494/365)</f>
        <v>121.87295612833168</v>
      </c>
      <c r="F494" s="32">
        <f t="shared" si="41"/>
        <v>1</v>
      </c>
      <c r="G494" s="20">
        <f t="shared" ca="1" si="42"/>
        <v>0.13072765689364313</v>
      </c>
      <c r="H494" s="20">
        <f t="shared" ca="1" si="44"/>
        <v>0.13104316901057728</v>
      </c>
      <c r="I494" s="20">
        <f t="shared" ca="1" si="43"/>
        <v>0.13712092131383613</v>
      </c>
      <c r="J494" s="20">
        <f t="shared" ca="1" si="39"/>
        <v>0.14223952215684788</v>
      </c>
      <c r="K494" s="36">
        <v>14</v>
      </c>
    </row>
    <row r="495" spans="1:11" x14ac:dyDescent="0.25">
      <c r="A495" s="23" t="s">
        <v>6</v>
      </c>
      <c r="B495" s="24">
        <v>45059</v>
      </c>
      <c r="C495" s="28">
        <v>0.13423599999999999</v>
      </c>
      <c r="D495" s="25">
        <f t="shared" ca="1" si="40"/>
        <v>121.91777732871208</v>
      </c>
      <c r="E495" s="26">
        <f>+E494*(1+C494*F495/365)</f>
        <v>121.91777732871208</v>
      </c>
      <c r="F495" s="27">
        <f t="shared" si="41"/>
        <v>1</v>
      </c>
      <c r="G495" s="28">
        <f t="shared" ca="1" si="42"/>
        <v>0.13133410091416267</v>
      </c>
      <c r="H495" s="28">
        <f t="shared" ca="1" si="44"/>
        <v>0.13118583901540831</v>
      </c>
      <c r="I495" s="28">
        <f t="shared" ca="1" si="43"/>
        <v>0.13705535321373544</v>
      </c>
      <c r="J495" s="28">
        <f t="shared" ca="1" si="39"/>
        <v>0.14220590461821661</v>
      </c>
      <c r="K495" s="36">
        <v>14</v>
      </c>
    </row>
    <row r="496" spans="1:11" x14ac:dyDescent="0.25">
      <c r="A496" s="23" t="s">
        <v>6</v>
      </c>
      <c r="B496" s="24">
        <v>45060</v>
      </c>
      <c r="C496" s="28">
        <v>0.13423599999999999</v>
      </c>
      <c r="D496" s="25">
        <f t="shared" ca="1" si="40"/>
        <v>121.96259852909246</v>
      </c>
      <c r="E496" s="26">
        <f>+E494*(1+C495*F496/365)</f>
        <v>121.96259852909246</v>
      </c>
      <c r="F496" s="27">
        <f t="shared" si="41"/>
        <v>2</v>
      </c>
      <c r="G496" s="28">
        <f t="shared" ca="1" si="42"/>
        <v>0.13194011325464652</v>
      </c>
      <c r="H496" s="28">
        <f t="shared" ca="1" si="44"/>
        <v>0.13132684853689011</v>
      </c>
      <c r="I496" s="28">
        <f t="shared" ca="1" si="43"/>
        <v>0.13698983535463843</v>
      </c>
      <c r="J496" s="28">
        <f t="shared" ca="1" si="39"/>
        <v>0.14217135657029234</v>
      </c>
      <c r="K496" s="36">
        <v>14</v>
      </c>
    </row>
    <row r="497" spans="1:11" x14ac:dyDescent="0.25">
      <c r="A497" s="13" t="s">
        <v>7</v>
      </c>
      <c r="B497" s="29">
        <v>45061</v>
      </c>
      <c r="C497" s="20">
        <v>0.13500000000000001</v>
      </c>
      <c r="D497" s="30">
        <f t="shared" ca="1" si="40"/>
        <v>122.00741972947286</v>
      </c>
      <c r="E497" s="31">
        <f>+E494*(1+C496*F497/365)</f>
        <v>122.00741972947286</v>
      </c>
      <c r="F497" s="32">
        <f t="shared" si="41"/>
        <v>3</v>
      </c>
      <c r="G497" s="20">
        <f t="shared" ca="1" si="42"/>
        <v>0.13254569437587754</v>
      </c>
      <c r="H497" s="20">
        <f t="shared" ca="1" si="44"/>
        <v>0.13146619873933077</v>
      </c>
      <c r="I497" s="20">
        <f t="shared" ca="1" si="43"/>
        <v>0.1369225201271527</v>
      </c>
      <c r="J497" s="20">
        <f t="shared" ca="1" si="39"/>
        <v>0.14213651601259028</v>
      </c>
      <c r="K497" s="36">
        <v>14</v>
      </c>
    </row>
    <row r="498" spans="1:11" x14ac:dyDescent="0.25">
      <c r="A498" s="13" t="s">
        <v>7</v>
      </c>
      <c r="B498" s="29">
        <v>45062</v>
      </c>
      <c r="C498" s="20">
        <v>0.13500000000000001</v>
      </c>
      <c r="D498" s="30">
        <f t="shared" ca="1" si="40"/>
        <v>122.05254576142758</v>
      </c>
      <c r="E498" s="31">
        <f>+E497*(1+C497*F498/365)</f>
        <v>122.05254576142758</v>
      </c>
      <c r="F498" s="32">
        <f t="shared" si="41"/>
        <v>1</v>
      </c>
      <c r="G498" s="20">
        <f t="shared" ca="1" si="42"/>
        <v>0.13326154082559613</v>
      </c>
      <c r="H498" s="20">
        <f t="shared" ca="1" si="44"/>
        <v>0.13163616529879238</v>
      </c>
      <c r="I498" s="20">
        <f t="shared" ca="1" si="43"/>
        <v>0.13686511094059789</v>
      </c>
      <c r="J498" s="20">
        <f t="shared" ca="1" si="39"/>
        <v>0.14210680255619287</v>
      </c>
      <c r="K498" s="36">
        <v>14</v>
      </c>
    </row>
    <row r="499" spans="1:11" x14ac:dyDescent="0.25">
      <c r="A499" s="13" t="s">
        <v>7</v>
      </c>
      <c r="B499" s="29">
        <v>45063</v>
      </c>
      <c r="C499" s="20">
        <v>0.13500000000000001</v>
      </c>
      <c r="D499" s="30">
        <f t="shared" ca="1" si="40"/>
        <v>122.09768848383248</v>
      </c>
      <c r="E499" s="31">
        <f>+E498*(1+C498*F499/365)</f>
        <v>122.09768848383248</v>
      </c>
      <c r="F499" s="32">
        <f t="shared" si="41"/>
        <v>1</v>
      </c>
      <c r="G499" s="20">
        <f t="shared" ca="1" si="42"/>
        <v>0.13398402383435229</v>
      </c>
      <c r="H499" s="20">
        <f t="shared" ca="1" si="44"/>
        <v>0.13180769208625434</v>
      </c>
      <c r="I499" s="20">
        <f t="shared" ca="1" si="43"/>
        <v>0.13680770254016864</v>
      </c>
      <c r="J499" s="20">
        <f t="shared" ca="1" si="39"/>
        <v>0.14207708950667258</v>
      </c>
      <c r="K499" s="36">
        <v>14</v>
      </c>
    </row>
    <row r="500" spans="1:11" x14ac:dyDescent="0.25">
      <c r="A500" s="13" t="s">
        <v>7</v>
      </c>
      <c r="B500" s="29">
        <v>45064</v>
      </c>
      <c r="C500" s="20">
        <v>0.13500000000000001</v>
      </c>
      <c r="D500" s="30">
        <f t="shared" ca="1" si="40"/>
        <v>122.14284790286075</v>
      </c>
      <c r="E500" s="31">
        <f>+E499*(1+C499*F500/365)</f>
        <v>122.14284790286075</v>
      </c>
      <c r="F500" s="32">
        <f t="shared" si="41"/>
        <v>1</v>
      </c>
      <c r="G500" s="20">
        <f t="shared" ca="1" si="42"/>
        <v>0.1346161326283955</v>
      </c>
      <c r="H500" s="20">
        <f t="shared" ca="1" si="44"/>
        <v>0.13197610435529036</v>
      </c>
      <c r="I500" s="20">
        <f t="shared" ca="1" si="43"/>
        <v>0.13675029492585497</v>
      </c>
      <c r="J500" s="20">
        <f t="shared" ca="1" si="39"/>
        <v>0.14204737686402485</v>
      </c>
      <c r="K500" s="36">
        <v>14</v>
      </c>
    </row>
    <row r="501" spans="1:11" x14ac:dyDescent="0.25">
      <c r="A501" s="13" t="s">
        <v>7</v>
      </c>
      <c r="B501" s="29">
        <v>45065</v>
      </c>
      <c r="C501" s="20">
        <v>0.13500000000000001</v>
      </c>
      <c r="D501" s="30">
        <f t="shared" ca="1" si="40"/>
        <v>122.18802402468783</v>
      </c>
      <c r="E501" s="31">
        <f>+E500*(1+C500*F501/365)</f>
        <v>122.18802402468783</v>
      </c>
      <c r="F501" s="32">
        <f t="shared" si="41"/>
        <v>1</v>
      </c>
      <c r="G501" s="20">
        <f t="shared" ca="1" si="42"/>
        <v>0.13480054010259884</v>
      </c>
      <c r="H501" s="20">
        <f t="shared" ca="1" si="44"/>
        <v>0.13214451893052531</v>
      </c>
      <c r="I501" s="20">
        <f t="shared" ca="1" si="43"/>
        <v>0.13669288809764521</v>
      </c>
      <c r="J501" s="20">
        <f t="shared" ca="1" si="39"/>
        <v>0.14201798360284631</v>
      </c>
      <c r="K501" s="36">
        <v>14</v>
      </c>
    </row>
    <row r="502" spans="1:11" x14ac:dyDescent="0.25">
      <c r="A502" s="23" t="s">
        <v>6</v>
      </c>
      <c r="B502" s="24">
        <v>45066</v>
      </c>
      <c r="C502" s="28">
        <v>0.13500000000000001</v>
      </c>
      <c r="D502" s="25">
        <f t="shared" ca="1" si="40"/>
        <v>122.23321685549148</v>
      </c>
      <c r="E502" s="26">
        <f>+E501*(1+C501*F502/365)</f>
        <v>122.23321685549148</v>
      </c>
      <c r="F502" s="27">
        <f t="shared" si="41"/>
        <v>1</v>
      </c>
      <c r="G502" s="28">
        <f t="shared" ca="1" si="42"/>
        <v>0.13490992488914563</v>
      </c>
      <c r="H502" s="28">
        <f t="shared" ca="1" si="44"/>
        <v>0.1323129358119835</v>
      </c>
      <c r="I502" s="28">
        <f t="shared" ca="1" si="43"/>
        <v>0.13663609833596108</v>
      </c>
      <c r="J502" s="28">
        <f t="shared" ref="J502:J565" ca="1" si="45">($D502/OFFSET($D502,-180,0)-1)*365/180</f>
        <v>0.14198890946571319</v>
      </c>
      <c r="K502" s="36">
        <v>14</v>
      </c>
    </row>
    <row r="503" spans="1:11" x14ac:dyDescent="0.25">
      <c r="A503" s="23" t="s">
        <v>6</v>
      </c>
      <c r="B503" s="24">
        <v>45067</v>
      </c>
      <c r="C503" s="28">
        <v>0.13500000000000001</v>
      </c>
      <c r="D503" s="25">
        <f t="shared" ca="1" si="40"/>
        <v>122.27840968629515</v>
      </c>
      <c r="E503" s="26">
        <f>+E501*(1+C502*F503/365)</f>
        <v>122.27840968629515</v>
      </c>
      <c r="F503" s="27">
        <f t="shared" si="41"/>
        <v>2</v>
      </c>
      <c r="G503" s="28">
        <f t="shared" ca="1" si="42"/>
        <v>0.13501922927800186</v>
      </c>
      <c r="H503" s="28">
        <f t="shared" ca="1" si="44"/>
        <v>0.13247967373677869</v>
      </c>
      <c r="I503" s="28">
        <f t="shared" ca="1" si="43"/>
        <v>0.13657935208895353</v>
      </c>
      <c r="J503" s="28">
        <f t="shared" ca="1" si="45"/>
        <v>0.14195890143290329</v>
      </c>
      <c r="K503" s="36">
        <v>14</v>
      </c>
    </row>
    <row r="504" spans="1:11" x14ac:dyDescent="0.25">
      <c r="A504" s="13" t="s">
        <v>7</v>
      </c>
      <c r="B504" s="29">
        <v>45068</v>
      </c>
      <c r="C504" s="20">
        <v>0.13500000000000001</v>
      </c>
      <c r="D504" s="30">
        <f t="shared" ca="1" si="40"/>
        <v>122.32360251709879</v>
      </c>
      <c r="E504" s="31">
        <f>+E501*(1+C503*F504/365)</f>
        <v>122.32360251709879</v>
      </c>
      <c r="F504" s="32">
        <f t="shared" si="41"/>
        <v>3</v>
      </c>
      <c r="G504" s="20">
        <f t="shared" ca="1" si="42"/>
        <v>0.13512845335771637</v>
      </c>
      <c r="H504" s="20">
        <f t="shared" ca="1" si="44"/>
        <v>0.13264629297389369</v>
      </c>
      <c r="I504" s="20">
        <f t="shared" ca="1" si="43"/>
        <v>0.13652080193198779</v>
      </c>
      <c r="J504" s="20">
        <f t="shared" ca="1" si="45"/>
        <v>0.14192859744079861</v>
      </c>
      <c r="K504" s="36">
        <v>14</v>
      </c>
    </row>
    <row r="505" spans="1:11" x14ac:dyDescent="0.25">
      <c r="A505" s="13" t="s">
        <v>7</v>
      </c>
      <c r="B505" s="29">
        <v>45069</v>
      </c>
      <c r="C505" s="20">
        <v>0.13500000000000001</v>
      </c>
      <c r="D505" s="30">
        <f t="shared" ca="1" si="40"/>
        <v>122.36884549337223</v>
      </c>
      <c r="E505" s="31">
        <f>+E504*(1+C504*F505/365)</f>
        <v>122.36884549337223</v>
      </c>
      <c r="F505" s="32">
        <f t="shared" si="41"/>
        <v>1</v>
      </c>
      <c r="G505" s="20">
        <f t="shared" ca="1" si="42"/>
        <v>0.13512845335771637</v>
      </c>
      <c r="H505" s="20">
        <f t="shared" ca="1" si="44"/>
        <v>0.13281783384979814</v>
      </c>
      <c r="I505" s="20">
        <f t="shared" ca="1" si="43"/>
        <v>0.13646339824631243</v>
      </c>
      <c r="J505" s="20">
        <f t="shared" ca="1" si="45"/>
        <v>0.14189888683150842</v>
      </c>
      <c r="K505" s="36">
        <v>14</v>
      </c>
    </row>
    <row r="506" spans="1:11" x14ac:dyDescent="0.25">
      <c r="A506" s="13" t="s">
        <v>7</v>
      </c>
      <c r="B506" s="29">
        <v>45070</v>
      </c>
      <c r="C506" s="20">
        <v>0.13500000000000001</v>
      </c>
      <c r="D506" s="30">
        <f t="shared" ca="1" si="40"/>
        <v>122.41410520334922</v>
      </c>
      <c r="E506" s="31">
        <f>+E505*(1+C505*F506/365)</f>
        <v>122.41410520334922</v>
      </c>
      <c r="F506" s="32">
        <f t="shared" si="41"/>
        <v>1</v>
      </c>
      <c r="G506" s="20">
        <f t="shared" ca="1" si="42"/>
        <v>0.13512845335771637</v>
      </c>
      <c r="H506" s="20">
        <f t="shared" ca="1" si="44"/>
        <v>0.13299093403862833</v>
      </c>
      <c r="I506" s="20">
        <f t="shared" ca="1" si="43"/>
        <v>0.13640599534668696</v>
      </c>
      <c r="J506" s="20">
        <f t="shared" ca="1" si="45"/>
        <v>0.1418691766290566</v>
      </c>
      <c r="K506" s="36">
        <v>14</v>
      </c>
    </row>
    <row r="507" spans="1:11" x14ac:dyDescent="0.25">
      <c r="A507" s="13" t="s">
        <v>7</v>
      </c>
      <c r="B507" s="29">
        <v>45071</v>
      </c>
      <c r="C507" s="20">
        <v>0.13667299999999999</v>
      </c>
      <c r="D507" s="30">
        <f t="shared" ca="1" si="40"/>
        <v>122.45938165321894</v>
      </c>
      <c r="E507" s="31">
        <f>+E506*(1+C506*F507/365)</f>
        <v>122.45938165321894</v>
      </c>
      <c r="F507" s="32">
        <f t="shared" si="41"/>
        <v>1</v>
      </c>
      <c r="G507" s="20">
        <f t="shared" ca="1" si="42"/>
        <v>0.13512845335771637</v>
      </c>
      <c r="H507" s="20">
        <f t="shared" ca="1" si="44"/>
        <v>0.13316559249886395</v>
      </c>
      <c r="I507" s="20">
        <f t="shared" ca="1" si="43"/>
        <v>0.13634859323310053</v>
      </c>
      <c r="J507" s="20">
        <f t="shared" ca="1" si="45"/>
        <v>0.1418394668334382</v>
      </c>
      <c r="K507" s="36">
        <v>14</v>
      </c>
    </row>
    <row r="508" spans="1:11" x14ac:dyDescent="0.25">
      <c r="A508" s="13" t="s">
        <v>7</v>
      </c>
      <c r="B508" s="29">
        <v>45072</v>
      </c>
      <c r="C508" s="20">
        <v>0.13397200000000001</v>
      </c>
      <c r="D508" s="30">
        <f t="shared" ca="1" si="40"/>
        <v>122.50523614929753</v>
      </c>
      <c r="E508" s="31">
        <f>+E507*(1+C507*F508/365)</f>
        <v>122.50523614929753</v>
      </c>
      <c r="F508" s="32">
        <f t="shared" si="41"/>
        <v>1</v>
      </c>
      <c r="G508" s="20">
        <f t="shared" ca="1" si="42"/>
        <v>0.13536798413373186</v>
      </c>
      <c r="H508" s="20">
        <f t="shared" ca="1" si="44"/>
        <v>0.13339038032967609</v>
      </c>
      <c r="I508" s="20">
        <f t="shared" ca="1" si="43"/>
        <v>0.13631039838974407</v>
      </c>
      <c r="J508" s="20">
        <f t="shared" ca="1" si="45"/>
        <v>0.14182001715163733</v>
      </c>
      <c r="K508" s="36">
        <v>14</v>
      </c>
    </row>
    <row r="509" spans="1:11" x14ac:dyDescent="0.25">
      <c r="A509" s="23" t="s">
        <v>6</v>
      </c>
      <c r="B509" s="24">
        <v>45073</v>
      </c>
      <c r="C509" s="28">
        <v>0.13397200000000001</v>
      </c>
      <c r="D509" s="25">
        <f t="shared" ca="1" si="40"/>
        <v>122.55020127668766</v>
      </c>
      <c r="E509" s="26">
        <f>+E508*(1+C508*F509/365)</f>
        <v>122.55020127668766</v>
      </c>
      <c r="F509" s="27">
        <f t="shared" si="41"/>
        <v>1</v>
      </c>
      <c r="G509" s="28">
        <f t="shared" ca="1" si="42"/>
        <v>0.13522080017319851</v>
      </c>
      <c r="H509" s="28">
        <f t="shared" ca="1" si="44"/>
        <v>0.1335241842531861</v>
      </c>
      <c r="I509" s="28">
        <f t="shared" ca="1" si="43"/>
        <v>0.13624181220225973</v>
      </c>
      <c r="J509" s="28">
        <f t="shared" ca="1" si="45"/>
        <v>0.14178483746977943</v>
      </c>
      <c r="K509" s="36">
        <v>14</v>
      </c>
    </row>
    <row r="510" spans="1:11" x14ac:dyDescent="0.25">
      <c r="A510" s="23" t="s">
        <v>6</v>
      </c>
      <c r="B510" s="24">
        <v>45074</v>
      </c>
      <c r="C510" s="28">
        <v>0.13397200000000001</v>
      </c>
      <c r="D510" s="25">
        <f t="shared" ca="1" si="40"/>
        <v>122.59516640407777</v>
      </c>
      <c r="E510" s="26">
        <f>+E508*(1+C509*F510/365)</f>
        <v>122.59516640407777</v>
      </c>
      <c r="F510" s="27">
        <f t="shared" si="41"/>
        <v>2</v>
      </c>
      <c r="G510" s="28">
        <f t="shared" ca="1" si="42"/>
        <v>0.13507372500797682</v>
      </c>
      <c r="H510" s="28">
        <f t="shared" ca="1" si="44"/>
        <v>0.13365633370912319</v>
      </c>
      <c r="I510" s="28">
        <f t="shared" ca="1" si="43"/>
        <v>0.13617327856836445</v>
      </c>
      <c r="J510" s="28">
        <f t="shared" ca="1" si="45"/>
        <v>0.14174872866139376</v>
      </c>
      <c r="K510" s="36">
        <v>14</v>
      </c>
    </row>
    <row r="511" spans="1:11" x14ac:dyDescent="0.25">
      <c r="A511" s="13" t="s">
        <v>7</v>
      </c>
      <c r="B511" s="29">
        <v>45075</v>
      </c>
      <c r="C511" s="20">
        <v>0.13500000000000001</v>
      </c>
      <c r="D511" s="30">
        <f t="shared" ca="1" si="40"/>
        <v>122.6401315314679</v>
      </c>
      <c r="E511" s="31">
        <f>+E508*(1+C510*F511/365)</f>
        <v>122.6401315314679</v>
      </c>
      <c r="F511" s="32">
        <f t="shared" si="41"/>
        <v>3</v>
      </c>
      <c r="G511" s="20">
        <f t="shared" ca="1" si="42"/>
        <v>0.13492675851751623</v>
      </c>
      <c r="H511" s="20">
        <f t="shared" ca="1" si="44"/>
        <v>0.1337014140390205</v>
      </c>
      <c r="I511" s="20">
        <f t="shared" ca="1" si="43"/>
        <v>0.13610295023717678</v>
      </c>
      <c r="J511" s="20">
        <f t="shared" ca="1" si="45"/>
        <v>0.14171232860196684</v>
      </c>
      <c r="K511" s="36">
        <v>14</v>
      </c>
    </row>
    <row r="512" spans="1:11" x14ac:dyDescent="0.25">
      <c r="A512" s="13" t="s">
        <v>7</v>
      </c>
      <c r="B512" s="29">
        <v>45076</v>
      </c>
      <c r="C512" s="20">
        <v>0.13423199999999999</v>
      </c>
      <c r="D512" s="30">
        <f t="shared" ca="1" si="40"/>
        <v>122.68549158011652</v>
      </c>
      <c r="E512" s="31">
        <f>+E511*(1+C511*F512/365)</f>
        <v>122.68549158011652</v>
      </c>
      <c r="F512" s="32">
        <f t="shared" si="41"/>
        <v>1</v>
      </c>
      <c r="G512" s="20">
        <f t="shared" ca="1" si="42"/>
        <v>0.13492675851751623</v>
      </c>
      <c r="H512" s="20">
        <f t="shared" ca="1" si="44"/>
        <v>0.13378605647690461</v>
      </c>
      <c r="I512" s="20">
        <f t="shared" ca="1" si="43"/>
        <v>0.1360455522733022</v>
      </c>
      <c r="J512" s="20">
        <f t="shared" ca="1" si="45"/>
        <v>0.14168262095412756</v>
      </c>
      <c r="K512" s="36">
        <v>14</v>
      </c>
    </row>
    <row r="513" spans="1:11" x14ac:dyDescent="0.25">
      <c r="A513" s="13" t="s">
        <v>7</v>
      </c>
      <c r="B513" s="29">
        <v>45077</v>
      </c>
      <c r="C513" s="20">
        <v>0.14957899999999999</v>
      </c>
      <c r="D513" s="30">
        <f t="shared" ca="1" si="40"/>
        <v>122.73061026205016</v>
      </c>
      <c r="E513" s="31">
        <f>+E512*(1+C512*F513/365)</f>
        <v>122.73061026205016</v>
      </c>
      <c r="F513" s="32">
        <f t="shared" si="41"/>
        <v>1</v>
      </c>
      <c r="G513" s="20">
        <f t="shared" ca="1" si="42"/>
        <v>0.13481680100033699</v>
      </c>
      <c r="H513" s="20">
        <f t="shared" ca="1" si="44"/>
        <v>0.13384644685265243</v>
      </c>
      <c r="I513" s="20">
        <f t="shared" ca="1" si="43"/>
        <v>0.1359793388888742</v>
      </c>
      <c r="J513" s="20">
        <f t="shared" ca="1" si="45"/>
        <v>0.14164835068086223</v>
      </c>
      <c r="K513" s="36">
        <v>14</v>
      </c>
    </row>
    <row r="514" spans="1:11" x14ac:dyDescent="0.25">
      <c r="A514" s="13" t="s">
        <v>7</v>
      </c>
      <c r="B514" s="29">
        <v>45078</v>
      </c>
      <c r="C514" s="20">
        <v>0.13114500000000001</v>
      </c>
      <c r="D514" s="30">
        <f t="shared" ca="1" si="40"/>
        <v>122.78090593863206</v>
      </c>
      <c r="E514" s="31">
        <f>+E513*(1+C513*F514/365)</f>
        <v>122.78090593863206</v>
      </c>
      <c r="F514" s="32">
        <f t="shared" si="41"/>
        <v>1</v>
      </c>
      <c r="G514" s="20">
        <f t="shared" ca="1" si="42"/>
        <v>0.13690412817640527</v>
      </c>
      <c r="H514" s="20">
        <f t="shared" ca="1" si="44"/>
        <v>0.1345060249378541</v>
      </c>
      <c r="I514" s="20">
        <f t="shared" ca="1" si="43"/>
        <v>0.13608929866527256</v>
      </c>
      <c r="J514" s="20">
        <f t="shared" ca="1" si="45"/>
        <v>0.14170526291420987</v>
      </c>
      <c r="K514" s="36">
        <v>14</v>
      </c>
    </row>
    <row r="515" spans="1:11" x14ac:dyDescent="0.25">
      <c r="A515" s="13" t="s">
        <v>7</v>
      </c>
      <c r="B515" s="29">
        <v>45079</v>
      </c>
      <c r="C515" s="20">
        <v>0.13236999999999999</v>
      </c>
      <c r="D515" s="30">
        <f t="shared" ref="D515:D578" ca="1" si="46">+IF(F515=1,D514*(1+C514*F515/365),OFFSET(D514,-F515+1,0)*(1+C514*F515/365))</f>
        <v>122.82502128632883</v>
      </c>
      <c r="E515" s="31">
        <f>+E514*(1+C514*F515/365)</f>
        <v>122.82502128632883</v>
      </c>
      <c r="F515" s="32">
        <f t="shared" si="41"/>
        <v>1</v>
      </c>
      <c r="G515" s="20">
        <f t="shared" ca="1" si="42"/>
        <v>0.13611263682077451</v>
      </c>
      <c r="H515" s="20">
        <f t="shared" ca="1" si="44"/>
        <v>0.13454459980908345</v>
      </c>
      <c r="I515" s="20">
        <f t="shared" ca="1" si="43"/>
        <v>0.13598764720231557</v>
      </c>
      <c r="J515" s="20">
        <f t="shared" ca="1" si="45"/>
        <v>0.14165296976218061</v>
      </c>
      <c r="K515" s="36">
        <v>14</v>
      </c>
    </row>
    <row r="516" spans="1:11" x14ac:dyDescent="0.25">
      <c r="A516" s="23" t="s">
        <v>6</v>
      </c>
      <c r="B516" s="24">
        <v>45080</v>
      </c>
      <c r="C516" s="28">
        <v>0.13236999999999999</v>
      </c>
      <c r="D516" s="25">
        <f t="shared" ca="1" si="46"/>
        <v>122.86956470569231</v>
      </c>
      <c r="E516" s="26">
        <f>+E515*(1+C515*F516/365)</f>
        <v>122.86956470569231</v>
      </c>
      <c r="F516" s="27">
        <f t="shared" si="41"/>
        <v>1</v>
      </c>
      <c r="G516" s="28">
        <f t="shared" ca="1" si="42"/>
        <v>0.13588326646355137</v>
      </c>
      <c r="H516" s="28">
        <f t="shared" ca="1" si="44"/>
        <v>0.13462444498943518</v>
      </c>
      <c r="I516" s="28">
        <f t="shared" ca="1" si="43"/>
        <v>0.13590067649114645</v>
      </c>
      <c r="J516" s="28">
        <f t="shared" ca="1" si="45"/>
        <v>0.14160827471623269</v>
      </c>
      <c r="K516" s="36">
        <v>14</v>
      </c>
    </row>
    <row r="517" spans="1:11" x14ac:dyDescent="0.25">
      <c r="A517" s="23" t="s">
        <v>6</v>
      </c>
      <c r="B517" s="24">
        <v>45081</v>
      </c>
      <c r="C517" s="28">
        <v>0.13236999999999999</v>
      </c>
      <c r="D517" s="25">
        <f t="shared" ca="1" si="46"/>
        <v>122.9141081250558</v>
      </c>
      <c r="E517" s="26">
        <f>+E515*(1+C516*F517/365)</f>
        <v>122.9141081250558</v>
      </c>
      <c r="F517" s="27">
        <f t="shared" si="41"/>
        <v>2</v>
      </c>
      <c r="G517" s="28">
        <f t="shared" ca="1" si="42"/>
        <v>0.13565406436204266</v>
      </c>
      <c r="H517" s="28">
        <f t="shared" ca="1" si="44"/>
        <v>0.13470267397858399</v>
      </c>
      <c r="I517" s="28">
        <f t="shared" ca="1" si="43"/>
        <v>0.13581377242055279</v>
      </c>
      <c r="J517" s="28">
        <f t="shared" ca="1" si="45"/>
        <v>0.1415626579140315</v>
      </c>
      <c r="K517" s="36">
        <v>14</v>
      </c>
    </row>
    <row r="518" spans="1:11" x14ac:dyDescent="0.25">
      <c r="A518" s="13" t="s">
        <v>7</v>
      </c>
      <c r="B518" s="29">
        <v>45082</v>
      </c>
      <c r="C518" s="20">
        <v>0.13264999999999999</v>
      </c>
      <c r="D518" s="30">
        <f t="shared" ca="1" si="46"/>
        <v>122.95865154441928</v>
      </c>
      <c r="E518" s="31">
        <f>+E515*(1+C517*F518/365)</f>
        <v>122.95865154441928</v>
      </c>
      <c r="F518" s="32">
        <f t="shared" si="41"/>
        <v>3</v>
      </c>
      <c r="G518" s="20">
        <f t="shared" ca="1" si="42"/>
        <v>0.13542503033115025</v>
      </c>
      <c r="H518" s="20">
        <f t="shared" ca="1" si="44"/>
        <v>0.13477928791725902</v>
      </c>
      <c r="I518" s="20">
        <f t="shared" ca="1" si="43"/>
        <v>0.13572508788998669</v>
      </c>
      <c r="J518" s="20">
        <f t="shared" ca="1" si="45"/>
        <v>0.14151675717775083</v>
      </c>
      <c r="K518" s="36">
        <v>14</v>
      </c>
    </row>
    <row r="519" spans="1:11" x14ac:dyDescent="0.25">
      <c r="A519" s="13" t="s">
        <v>7</v>
      </c>
      <c r="B519" s="29">
        <v>45083</v>
      </c>
      <c r="C519" s="20">
        <v>0.134939</v>
      </c>
      <c r="D519" s="30">
        <f t="shared" ca="1" si="46"/>
        <v>123.00333775024767</v>
      </c>
      <c r="E519" s="31">
        <f>+E518*(1+C518*F519/365)</f>
        <v>123.00333775024767</v>
      </c>
      <c r="F519" s="32">
        <f t="shared" ref="F519:F582" si="47">IF(A518="Working day",1,(IF(A517="Working day",2,(IF(A516="Working day",3,IF(A515="Working day",4,IF(A514="Working day",5,6)))))))</f>
        <v>1</v>
      </c>
      <c r="G519" s="20">
        <f t="shared" ca="1" si="42"/>
        <v>0.13508856857560425</v>
      </c>
      <c r="H519" s="20">
        <f t="shared" ca="1" si="44"/>
        <v>0.13487012736346127</v>
      </c>
      <c r="I519" s="20">
        <f t="shared" ca="1" si="43"/>
        <v>0.13564072048918249</v>
      </c>
      <c r="J519" s="20">
        <f t="shared" ca="1" si="45"/>
        <v>0.14147309087213608</v>
      </c>
      <c r="K519" s="36">
        <v>14</v>
      </c>
    </row>
    <row r="520" spans="1:11" x14ac:dyDescent="0.25">
      <c r="A520" s="13" t="s">
        <v>7</v>
      </c>
      <c r="B520" s="29">
        <v>45084</v>
      </c>
      <c r="C520" s="20">
        <v>0.13475300000000001</v>
      </c>
      <c r="D520" s="30">
        <f t="shared" ca="1" si="46"/>
        <v>123.04881157872076</v>
      </c>
      <c r="E520" s="31">
        <f>+E519*(1+C519*F520/365)</f>
        <v>123.04881157872076</v>
      </c>
      <c r="F520" s="32">
        <f t="shared" si="47"/>
        <v>1</v>
      </c>
      <c r="G520" s="20">
        <f t="shared" ca="1" si="42"/>
        <v>0.13518979301412801</v>
      </c>
      <c r="H520" s="20">
        <f t="shared" ca="1" si="44"/>
        <v>0.13503964411378705</v>
      </c>
      <c r="I520" s="20">
        <f t="shared" ca="1" si="43"/>
        <v>0.13558324480251088</v>
      </c>
      <c r="J520" s="20">
        <f t="shared" ca="1" si="45"/>
        <v>0.14144334299706043</v>
      </c>
      <c r="K520" s="36">
        <v>14</v>
      </c>
    </row>
    <row r="521" spans="1:11" x14ac:dyDescent="0.25">
      <c r="A521" s="13" t="s">
        <v>7</v>
      </c>
      <c r="B521" s="29">
        <v>45085</v>
      </c>
      <c r="C521" s="20">
        <v>0.133411</v>
      </c>
      <c r="D521" s="30">
        <f t="shared" ca="1" si="46"/>
        <v>123.09423951435548</v>
      </c>
      <c r="E521" s="31">
        <f>+E520*(1+C520*F521/365)</f>
        <v>123.09423951435548</v>
      </c>
      <c r="F521" s="32">
        <f t="shared" si="47"/>
        <v>1</v>
      </c>
      <c r="G521" s="20">
        <f t="shared" ref="G521:G584" ca="1" si="48">(D521/OFFSET(D521,-7,0)-1)*365/7</f>
        <v>0.13306717157774095</v>
      </c>
      <c r="H521" s="20">
        <f t="shared" ca="1" si="44"/>
        <v>0.13519977888796475</v>
      </c>
      <c r="I521" s="20">
        <f t="shared" ca="1" si="43"/>
        <v>0.13552301884730072</v>
      </c>
      <c r="J521" s="20">
        <f t="shared" ca="1" si="45"/>
        <v>0.14141217165669573</v>
      </c>
      <c r="K521" s="36">
        <v>14</v>
      </c>
    </row>
    <row r="522" spans="1:11" x14ac:dyDescent="0.25">
      <c r="A522" s="13" t="s">
        <v>7</v>
      </c>
      <c r="B522" s="29">
        <v>45086</v>
      </c>
      <c r="C522" s="20">
        <v>0.13388700000000001</v>
      </c>
      <c r="D522" s="30">
        <f t="shared" ca="1" si="46"/>
        <v>123.13923163925371</v>
      </c>
      <c r="E522" s="31">
        <f>+E521*(1+C521*F522/365)</f>
        <v>123.13923163925371</v>
      </c>
      <c r="F522" s="32">
        <f t="shared" si="47"/>
        <v>1</v>
      </c>
      <c r="G522" s="20">
        <f t="shared" ca="1" si="48"/>
        <v>0.13339159540770013</v>
      </c>
      <c r="H522" s="20">
        <f t="shared" ca="1" si="44"/>
        <v>0.13531626085961479</v>
      </c>
      <c r="I522" s="20">
        <f t="shared" ca="1" si="43"/>
        <v>0.13544739027544644</v>
      </c>
      <c r="J522" s="20">
        <f t="shared" ca="1" si="45"/>
        <v>0.14137334721458311</v>
      </c>
      <c r="K522" s="36">
        <v>14</v>
      </c>
    </row>
    <row r="523" spans="1:11" x14ac:dyDescent="0.25">
      <c r="A523" s="23" t="s">
        <v>6</v>
      </c>
      <c r="B523" s="24">
        <v>45087</v>
      </c>
      <c r="C523" s="28">
        <v>0.13388700000000001</v>
      </c>
      <c r="D523" s="25">
        <f t="shared" ca="1" si="46"/>
        <v>123.18440079625778</v>
      </c>
      <c r="E523" s="26">
        <f>+E522*(1+C522*F523/365)</f>
        <v>123.18440079625778</v>
      </c>
      <c r="F523" s="27">
        <f t="shared" si="47"/>
        <v>1</v>
      </c>
      <c r="G523" s="28">
        <f t="shared" ca="1" si="48"/>
        <v>0.13360878532525228</v>
      </c>
      <c r="H523" s="28">
        <f t="shared" ca="1" si="44"/>
        <v>0.13542751187307711</v>
      </c>
      <c r="I523" s="28">
        <f t="shared" ca="1" si="43"/>
        <v>0.13537722649988709</v>
      </c>
      <c r="J523" s="28">
        <f t="shared" ca="1" si="45"/>
        <v>0.14133766982415588</v>
      </c>
      <c r="K523" s="36">
        <v>14</v>
      </c>
    </row>
    <row r="524" spans="1:11" x14ac:dyDescent="0.25">
      <c r="A524" s="23" t="s">
        <v>6</v>
      </c>
      <c r="B524" s="24">
        <v>45088</v>
      </c>
      <c r="C524" s="28">
        <v>0.13388700000000001</v>
      </c>
      <c r="D524" s="25">
        <f t="shared" ca="1" si="46"/>
        <v>123.22956995326184</v>
      </c>
      <c r="E524" s="26">
        <f>+E522*(1+C523*F524/365)</f>
        <v>123.22956995326184</v>
      </c>
      <c r="F524" s="27">
        <f t="shared" si="47"/>
        <v>2</v>
      </c>
      <c r="G524" s="28">
        <f t="shared" ca="1" si="48"/>
        <v>0.13382581782586064</v>
      </c>
      <c r="H524" s="28">
        <f t="shared" ca="1" si="44"/>
        <v>0.13543175391542026</v>
      </c>
      <c r="I524" s="28">
        <f t="shared" ca="1" si="43"/>
        <v>0.13530711650733576</v>
      </c>
      <c r="J524" s="28">
        <f t="shared" ca="1" si="45"/>
        <v>0.14130106388569802</v>
      </c>
      <c r="K524" s="36">
        <v>14</v>
      </c>
    </row>
    <row r="525" spans="1:11" x14ac:dyDescent="0.25">
      <c r="A525" s="13" t="s">
        <v>7</v>
      </c>
      <c r="B525" s="29">
        <v>45089</v>
      </c>
      <c r="C525" s="20">
        <v>0.13420000000000001</v>
      </c>
      <c r="D525" s="30">
        <f t="shared" ca="1" si="46"/>
        <v>123.27473911026591</v>
      </c>
      <c r="E525" s="31">
        <f>+E522*(1+C524*F525/365)</f>
        <v>123.27473911026591</v>
      </c>
      <c r="F525" s="32">
        <f t="shared" si="47"/>
        <v>3</v>
      </c>
      <c r="G525" s="20">
        <f t="shared" ca="1" si="48"/>
        <v>0.13404269308061395</v>
      </c>
      <c r="H525" s="20">
        <f t="shared" ca="1" si="44"/>
        <v>0.13541668850358632</v>
      </c>
      <c r="I525" s="20">
        <f t="shared" ca="1" si="43"/>
        <v>0.13523582855869162</v>
      </c>
      <c r="J525" s="20">
        <f t="shared" ca="1" si="45"/>
        <v>0.14126416714314932</v>
      </c>
      <c r="K525" s="36">
        <v>14</v>
      </c>
    </row>
    <row r="526" spans="1:11" x14ac:dyDescent="0.25">
      <c r="A526" s="13" t="s">
        <v>7</v>
      </c>
      <c r="B526" s="29">
        <v>45090</v>
      </c>
      <c r="C526" s="20">
        <v>0.134299</v>
      </c>
      <c r="D526" s="30">
        <f t="shared" ca="1" si="46"/>
        <v>123.32006368557713</v>
      </c>
      <c r="E526" s="31">
        <f>+E525*(1+C525*F526/365)</f>
        <v>123.32006368557713</v>
      </c>
      <c r="F526" s="32">
        <f t="shared" si="47"/>
        <v>1</v>
      </c>
      <c r="G526" s="20">
        <f t="shared" ca="1" si="48"/>
        <v>0.13426461022427569</v>
      </c>
      <c r="H526" s="20">
        <f t="shared" ca="1" si="44"/>
        <v>0.13541713828460178</v>
      </c>
      <c r="I526" s="20">
        <f t="shared" ca="1" si="43"/>
        <v>0.13516926069423427</v>
      </c>
      <c r="J526" s="20">
        <f t="shared" ca="1" si="45"/>
        <v>0.14122971339039486</v>
      </c>
      <c r="K526" s="36">
        <v>14</v>
      </c>
    </row>
    <row r="527" spans="1:11" x14ac:dyDescent="0.25">
      <c r="A527" s="13" t="s">
        <v>7</v>
      </c>
      <c r="B527" s="29">
        <v>45091</v>
      </c>
      <c r="C527" s="20">
        <v>0.13445099999999999</v>
      </c>
      <c r="D527" s="30">
        <f t="shared" ca="1" si="46"/>
        <v>123.36543837388646</v>
      </c>
      <c r="E527" s="31">
        <f>+E526*(1+C526*F527/365)</f>
        <v>123.36543837388646</v>
      </c>
      <c r="F527" s="32">
        <f t="shared" si="47"/>
        <v>1</v>
      </c>
      <c r="G527" s="20">
        <f t="shared" ca="1" si="48"/>
        <v>0.13417298010524586</v>
      </c>
      <c r="H527" s="20">
        <f t="shared" ca="1" si="44"/>
        <v>0.13542258503896171</v>
      </c>
      <c r="I527" s="20">
        <f t="shared" ca="1" si="43"/>
        <v>0.13510383011369603</v>
      </c>
      <c r="J527" s="20">
        <f t="shared" ca="1" si="45"/>
        <v>0.14119584826549172</v>
      </c>
      <c r="K527" s="36">
        <v>14</v>
      </c>
    </row>
    <row r="528" spans="1:11" x14ac:dyDescent="0.25">
      <c r="A528" s="13" t="s">
        <v>7</v>
      </c>
      <c r="B528" s="29">
        <v>45092</v>
      </c>
      <c r="C528" s="20">
        <v>0.13500000000000001</v>
      </c>
      <c r="D528" s="30">
        <f t="shared" ca="1" si="46"/>
        <v>123.41088113157087</v>
      </c>
      <c r="E528" s="31">
        <f>+E527*(1+C527*F528/365)</f>
        <v>123.41088113157087</v>
      </c>
      <c r="F528" s="32">
        <f t="shared" si="47"/>
        <v>1</v>
      </c>
      <c r="G528" s="20">
        <f t="shared" ca="1" si="48"/>
        <v>0.13412974219658561</v>
      </c>
      <c r="H528" s="20">
        <f t="shared" ca="1" si="44"/>
        <v>0.13540408818985583</v>
      </c>
      <c r="I528" s="20">
        <f t="shared" ca="1" si="43"/>
        <v>0.13504014503692827</v>
      </c>
      <c r="J528" s="20">
        <f t="shared" ca="1" si="45"/>
        <v>0.14116288656682557</v>
      </c>
      <c r="K528" s="36">
        <v>14</v>
      </c>
    </row>
    <row r="529" spans="1:11" x14ac:dyDescent="0.25">
      <c r="A529" s="13" t="s">
        <v>7</v>
      </c>
      <c r="B529" s="29">
        <v>45093</v>
      </c>
      <c r="C529" s="20">
        <v>0.13500000000000001</v>
      </c>
      <c r="D529" s="30">
        <f t="shared" ca="1" si="46"/>
        <v>123.45652625198939</v>
      </c>
      <c r="E529" s="31">
        <f>+E528*(1+C528*F529/365)</f>
        <v>123.45652625198939</v>
      </c>
      <c r="F529" s="32">
        <f t="shared" si="47"/>
        <v>1</v>
      </c>
      <c r="G529" s="20">
        <f t="shared" ca="1" si="48"/>
        <v>0.13435724296659052</v>
      </c>
      <c r="H529" s="20">
        <f t="shared" ca="1" si="44"/>
        <v>0.13540408818985583</v>
      </c>
      <c r="I529" s="20">
        <f t="shared" ca="1" si="43"/>
        <v>0.13498276162644701</v>
      </c>
      <c r="J529" s="20">
        <f t="shared" ca="1" si="45"/>
        <v>0.14113350528728286</v>
      </c>
      <c r="K529" s="36">
        <v>14</v>
      </c>
    </row>
    <row r="530" spans="1:11" x14ac:dyDescent="0.25">
      <c r="A530" s="23" t="s">
        <v>6</v>
      </c>
      <c r="B530" s="24">
        <v>45094</v>
      </c>
      <c r="C530" s="28">
        <v>0.13500000000000001</v>
      </c>
      <c r="D530" s="25">
        <f t="shared" ca="1" si="46"/>
        <v>123.5021882548497</v>
      </c>
      <c r="E530" s="26">
        <f>+E529*(1+C529*F530/365)</f>
        <v>123.5021882548497</v>
      </c>
      <c r="F530" s="27">
        <f t="shared" si="47"/>
        <v>1</v>
      </c>
      <c r="G530" s="28">
        <f t="shared" ca="1" si="48"/>
        <v>0.13451659421192991</v>
      </c>
      <c r="H530" s="28">
        <f t="shared" ca="1" si="44"/>
        <v>0.13540408818985311</v>
      </c>
      <c r="I530" s="28">
        <f t="shared" ca="1" si="43"/>
        <v>0.13492599503077332</v>
      </c>
      <c r="J530" s="28">
        <f t="shared" ca="1" si="45"/>
        <v>0.14110444300170003</v>
      </c>
      <c r="K530" s="36">
        <v>14</v>
      </c>
    </row>
    <row r="531" spans="1:11" x14ac:dyDescent="0.25">
      <c r="A531" s="23" t="s">
        <v>6</v>
      </c>
      <c r="B531" s="24">
        <v>45095</v>
      </c>
      <c r="C531" s="28">
        <v>0.13500000000000001</v>
      </c>
      <c r="D531" s="25">
        <f t="shared" ca="1" si="46"/>
        <v>123.54785025771005</v>
      </c>
      <c r="E531" s="26">
        <f>+E529*(1+C530*F531/365)</f>
        <v>123.54785025771005</v>
      </c>
      <c r="F531" s="27">
        <f t="shared" si="47"/>
        <v>2</v>
      </c>
      <c r="G531" s="28">
        <f t="shared" ca="1" si="48"/>
        <v>0.13467582863854949</v>
      </c>
      <c r="H531" s="28">
        <f t="shared" ca="1" si="44"/>
        <v>0.13540240652739791</v>
      </c>
      <c r="I531" s="28">
        <f t="shared" ca="1" si="43"/>
        <v>0.13486927193202713</v>
      </c>
      <c r="J531" s="28">
        <f t="shared" ca="1" si="45"/>
        <v>0.14107444720112652</v>
      </c>
      <c r="K531" s="36">
        <v>14</v>
      </c>
    </row>
    <row r="532" spans="1:11" x14ac:dyDescent="0.25">
      <c r="A532" s="13" t="s">
        <v>7</v>
      </c>
      <c r="B532" s="29">
        <v>45096</v>
      </c>
      <c r="C532" s="20">
        <v>0.13500000000000001</v>
      </c>
      <c r="D532" s="30">
        <f t="shared" ca="1" si="46"/>
        <v>123.59351226057036</v>
      </c>
      <c r="E532" s="31">
        <f>+E529*(1+C531*F532/365)</f>
        <v>123.59351226057036</v>
      </c>
      <c r="F532" s="32">
        <f t="shared" si="47"/>
        <v>3</v>
      </c>
      <c r="G532" s="20">
        <f t="shared" ca="1" si="48"/>
        <v>0.13483494637482663</v>
      </c>
      <c r="H532" s="20">
        <f t="shared" ca="1" si="44"/>
        <v>0.13539904444599138</v>
      </c>
      <c r="I532" s="20">
        <f t="shared" ca="1" si="43"/>
        <v>0.13481259228023074</v>
      </c>
      <c r="J532" s="20">
        <f t="shared" ca="1" si="45"/>
        <v>0.14104415556190006</v>
      </c>
      <c r="K532" s="36">
        <v>14</v>
      </c>
    </row>
    <row r="533" spans="1:11" x14ac:dyDescent="0.25">
      <c r="A533" s="13" t="s">
        <v>7</v>
      </c>
      <c r="B533" s="29">
        <v>45097</v>
      </c>
      <c r="C533" s="20">
        <v>0.13500000000000001</v>
      </c>
      <c r="D533" s="30">
        <f t="shared" ca="1" si="46"/>
        <v>123.63922492948865</v>
      </c>
      <c r="E533" s="31">
        <f>+E532*(1+C532*F533/365)</f>
        <v>123.63922492948865</v>
      </c>
      <c r="F533" s="32">
        <f t="shared" si="47"/>
        <v>1</v>
      </c>
      <c r="G533" s="20">
        <f t="shared" ca="1" si="48"/>
        <v>0.13494948550501834</v>
      </c>
      <c r="H533" s="20">
        <f t="shared" ca="1" si="44"/>
        <v>0.13540072610798734</v>
      </c>
      <c r="I533" s="20">
        <f t="shared" ca="1" si="43"/>
        <v>0.13475767317191362</v>
      </c>
      <c r="J533" s="20">
        <f t="shared" ca="1" si="45"/>
        <v>0.14101445706360688</v>
      </c>
      <c r="K533" s="36">
        <v>14</v>
      </c>
    </row>
    <row r="534" spans="1:11" x14ac:dyDescent="0.25">
      <c r="A534" s="13" t="s">
        <v>7</v>
      </c>
      <c r="B534" s="29">
        <v>45098</v>
      </c>
      <c r="C534" s="20">
        <v>0.13500000000000001</v>
      </c>
      <c r="D534" s="30">
        <f t="shared" ca="1" si="46"/>
        <v>123.68495450583242</v>
      </c>
      <c r="E534" s="31">
        <f>+E533*(1+C533*F534/365)</f>
        <v>123.68495450583242</v>
      </c>
      <c r="F534" s="32">
        <f t="shared" si="47"/>
        <v>1</v>
      </c>
      <c r="G534" s="20">
        <f t="shared" ca="1" si="48"/>
        <v>0.13504985061053307</v>
      </c>
      <c r="H534" s="20">
        <f t="shared" ca="1" si="44"/>
        <v>0.13540408818985311</v>
      </c>
      <c r="I534" s="20">
        <f t="shared" ca="1" si="43"/>
        <v>0.13470336889455592</v>
      </c>
      <c r="J534" s="20">
        <f t="shared" ca="1" si="45"/>
        <v>0.14098475897198634</v>
      </c>
      <c r="K534" s="36">
        <v>14</v>
      </c>
    </row>
    <row r="535" spans="1:11" x14ac:dyDescent="0.25">
      <c r="A535" s="13" t="s">
        <v>7</v>
      </c>
      <c r="B535" s="29">
        <v>45099</v>
      </c>
      <c r="C535" s="20">
        <v>0.13500000000000001</v>
      </c>
      <c r="D535" s="30">
        <f t="shared" ca="1" si="46"/>
        <v>123.73070099585512</v>
      </c>
      <c r="E535" s="31">
        <f>+E534*(1+C534*F535/365)</f>
        <v>123.73070099585512</v>
      </c>
      <c r="F535" s="32">
        <f t="shared" si="47"/>
        <v>1</v>
      </c>
      <c r="G535" s="20">
        <f t="shared" ca="1" si="48"/>
        <v>0.13512845335770479</v>
      </c>
      <c r="H535" s="20">
        <f t="shared" ca="1" si="44"/>
        <v>0.13540408818985311</v>
      </c>
      <c r="I535" s="20">
        <f t="shared" ca="1" si="43"/>
        <v>0.13476074926489576</v>
      </c>
      <c r="J535" s="20">
        <f t="shared" ca="1" si="45"/>
        <v>0.14095506128703308</v>
      </c>
      <c r="K535" s="36">
        <v>14</v>
      </c>
    </row>
    <row r="536" spans="1:11" x14ac:dyDescent="0.25">
      <c r="A536" s="13" t="s">
        <v>7</v>
      </c>
      <c r="B536" s="29">
        <v>45100</v>
      </c>
      <c r="C536" s="20">
        <v>0.13500000000000001</v>
      </c>
      <c r="D536" s="30">
        <f t="shared" ca="1" si="46"/>
        <v>123.77646440581248</v>
      </c>
      <c r="E536" s="31">
        <f>+E535*(1+C535*F536/365)</f>
        <v>123.77646440581248</v>
      </c>
      <c r="F536" s="32">
        <f t="shared" si="47"/>
        <v>1</v>
      </c>
      <c r="G536" s="20">
        <f t="shared" ca="1" si="48"/>
        <v>0.13512845335770479</v>
      </c>
      <c r="H536" s="20">
        <f t="shared" ca="1" si="44"/>
        <v>0.13540408818985311</v>
      </c>
      <c r="I536" s="20">
        <f t="shared" ca="1" si="43"/>
        <v>0.13481793532239458</v>
      </c>
      <c r="J536" s="20">
        <f t="shared" ca="1" si="45"/>
        <v>0.14092568282276893</v>
      </c>
      <c r="K536" s="36">
        <v>14</v>
      </c>
    </row>
    <row r="537" spans="1:11" x14ac:dyDescent="0.25">
      <c r="A537" s="23" t="s">
        <v>6</v>
      </c>
      <c r="B537" s="24">
        <v>45101</v>
      </c>
      <c r="C537" s="28">
        <v>0.13500000000000001</v>
      </c>
      <c r="D537" s="25">
        <f t="shared" ca="1" si="46"/>
        <v>123.82224474196256</v>
      </c>
      <c r="E537" s="26">
        <f>+E536*(1+C536*F537/365)</f>
        <v>123.82224474196256</v>
      </c>
      <c r="F537" s="27">
        <f t="shared" si="47"/>
        <v>1</v>
      </c>
      <c r="G537" s="28">
        <f t="shared" ca="1" si="48"/>
        <v>0.13512845335771637</v>
      </c>
      <c r="H537" s="28">
        <f t="shared" ca="1" si="44"/>
        <v>0.13540408818985311</v>
      </c>
      <c r="I537" s="28">
        <f t="shared" ca="1" si="43"/>
        <v>0.13487531726157878</v>
      </c>
      <c r="J537" s="28">
        <f t="shared" ca="1" si="45"/>
        <v>0.14089662332189939</v>
      </c>
      <c r="K537" s="36">
        <v>14</v>
      </c>
    </row>
    <row r="538" spans="1:11" x14ac:dyDescent="0.25">
      <c r="A538" s="23" t="s">
        <v>6</v>
      </c>
      <c r="B538" s="24">
        <v>45102</v>
      </c>
      <c r="C538" s="28">
        <v>0.13500000000000001</v>
      </c>
      <c r="D538" s="25">
        <f t="shared" ca="1" si="46"/>
        <v>123.86802507811268</v>
      </c>
      <c r="E538" s="26">
        <f>+E536*(1+C537*F538/365)</f>
        <v>123.86802507811268</v>
      </c>
      <c r="F538" s="27">
        <f t="shared" si="47"/>
        <v>2</v>
      </c>
      <c r="G538" s="28">
        <f t="shared" ca="1" si="48"/>
        <v>0.13512845335770479</v>
      </c>
      <c r="H538" s="28">
        <f t="shared" ca="1" si="44"/>
        <v>0.13534604034157963</v>
      </c>
      <c r="I538" s="28">
        <f t="shared" ca="1" si="43"/>
        <v>0.13493265835505297</v>
      </c>
      <c r="J538" s="28">
        <f t="shared" ca="1" si="45"/>
        <v>0.14086663039548677</v>
      </c>
      <c r="K538" s="36">
        <v>14</v>
      </c>
    </row>
    <row r="539" spans="1:11" x14ac:dyDescent="0.25">
      <c r="A539" s="13" t="s">
        <v>7</v>
      </c>
      <c r="B539" s="29">
        <v>45103</v>
      </c>
      <c r="C539" s="20">
        <v>0.13500000000000001</v>
      </c>
      <c r="D539" s="30">
        <f t="shared" ca="1" si="46"/>
        <v>123.91380541426277</v>
      </c>
      <c r="E539" s="31">
        <f>+E536*(1+C538*F539/365)</f>
        <v>123.91380541426277</v>
      </c>
      <c r="F539" s="32">
        <f t="shared" si="47"/>
        <v>3</v>
      </c>
      <c r="G539" s="20">
        <f t="shared" ca="1" si="48"/>
        <v>0.13512845335771637</v>
      </c>
      <c r="H539" s="20">
        <f t="shared" ca="1" si="44"/>
        <v>0.13537731341384476</v>
      </c>
      <c r="I539" s="20">
        <f t="shared" ca="1" si="43"/>
        <v>0.13498889661434549</v>
      </c>
      <c r="J539" s="20">
        <f t="shared" ca="1" si="45"/>
        <v>0.14083634165876899</v>
      </c>
      <c r="K539" s="36">
        <v>14</v>
      </c>
    </row>
    <row r="540" spans="1:11" x14ac:dyDescent="0.25">
      <c r="A540" s="13" t="s">
        <v>7</v>
      </c>
      <c r="B540" s="29">
        <v>45104</v>
      </c>
      <c r="C540" s="20">
        <v>0.16290499999999999</v>
      </c>
      <c r="D540" s="30">
        <f t="shared" ca="1" si="46"/>
        <v>123.95963654777215</v>
      </c>
      <c r="E540" s="31">
        <f>+E539*(1+C539*F540/365)</f>
        <v>123.95963654777215</v>
      </c>
      <c r="F540" s="32">
        <f t="shared" si="47"/>
        <v>1</v>
      </c>
      <c r="G540" s="20">
        <f t="shared" ca="1" si="48"/>
        <v>0.13512845335771637</v>
      </c>
      <c r="H540" s="20">
        <f t="shared" ca="1" si="44"/>
        <v>0.135413604809106</v>
      </c>
      <c r="I540" s="20">
        <f t="shared" ref="I540:I603" ca="1" si="49">($D540/OFFSET($D540,-90,0)-1)*365/90</f>
        <v>0.13504628089463075</v>
      </c>
      <c r="J540" s="20">
        <f t="shared" ca="1" si="45"/>
        <v>0.14080664600615028</v>
      </c>
      <c r="K540" s="36">
        <v>14</v>
      </c>
    </row>
    <row r="541" spans="1:11" x14ac:dyDescent="0.25">
      <c r="A541" s="23" t="s">
        <v>6</v>
      </c>
      <c r="B541" s="24">
        <v>45105</v>
      </c>
      <c r="C541" s="28">
        <v>0.16290499999999999</v>
      </c>
      <c r="D541" s="25">
        <f t="shared" ca="1" si="46"/>
        <v>124.01496160144836</v>
      </c>
      <c r="E541" s="26">
        <f>+E540*(1+C540*F541/365)</f>
        <v>124.01496160144836</v>
      </c>
      <c r="F541" s="27">
        <f t="shared" si="47"/>
        <v>1</v>
      </c>
      <c r="G541" s="28">
        <f t="shared" ca="1" si="48"/>
        <v>0.13912373507013925</v>
      </c>
      <c r="H541" s="28">
        <f t="shared" ca="1" si="44"/>
        <v>0.13639172574166852</v>
      </c>
      <c r="I541" s="28">
        <f t="shared" ca="1" si="49"/>
        <v>0.13542393201458411</v>
      </c>
      <c r="J541" s="28">
        <f t="shared" ca="1" si="45"/>
        <v>0.14094267992800685</v>
      </c>
      <c r="K541" s="36">
        <v>14</v>
      </c>
    </row>
    <row r="542" spans="1:11" x14ac:dyDescent="0.25">
      <c r="A542" s="23" t="s">
        <v>6</v>
      </c>
      <c r="B542" s="24">
        <v>45106</v>
      </c>
      <c r="C542" s="28">
        <v>0.16290499999999999</v>
      </c>
      <c r="D542" s="25">
        <f t="shared" ca="1" si="46"/>
        <v>124.07028665512455</v>
      </c>
      <c r="E542" s="26">
        <f>+E540*(1+C541*F542/365)</f>
        <v>124.07028665512455</v>
      </c>
      <c r="F542" s="27">
        <f t="shared" si="47"/>
        <v>2</v>
      </c>
      <c r="G542" s="28">
        <f t="shared" ca="1" si="48"/>
        <v>0.14310891619083752</v>
      </c>
      <c r="H542" s="28">
        <f t="shared" ca="1" si="44"/>
        <v>0.13732952333864115</v>
      </c>
      <c r="I542" s="28">
        <f t="shared" ca="1" si="49"/>
        <v>0.13580078300632256</v>
      </c>
      <c r="J542" s="28">
        <f t="shared" ca="1" si="45"/>
        <v>0.14106344135736676</v>
      </c>
      <c r="K542" s="36">
        <v>14</v>
      </c>
    </row>
    <row r="543" spans="1:11" x14ac:dyDescent="0.25">
      <c r="A543" s="23" t="s">
        <v>6</v>
      </c>
      <c r="B543" s="24">
        <v>45107</v>
      </c>
      <c r="C543" s="28">
        <v>0.16290499999999999</v>
      </c>
      <c r="D543" s="25">
        <f t="shared" ca="1" si="46"/>
        <v>124.12561170880078</v>
      </c>
      <c r="E543" s="26">
        <f>+E542*(1+C542*F543/365)</f>
        <v>124.23640997058389</v>
      </c>
      <c r="F543" s="27">
        <f t="shared" si="47"/>
        <v>3</v>
      </c>
      <c r="G543" s="28">
        <f t="shared" ca="1" si="48"/>
        <v>0.14708400364259927</v>
      </c>
      <c r="H543" s="28">
        <f t="shared" ca="1" si="44"/>
        <v>0.13829082708782392</v>
      </c>
      <c r="I543" s="28">
        <f t="shared" ca="1" si="49"/>
        <v>0.13606203644053361</v>
      </c>
      <c r="J543" s="28">
        <f t="shared" ca="1" si="45"/>
        <v>0.14118410856712485</v>
      </c>
      <c r="K543" s="36">
        <v>14</v>
      </c>
    </row>
    <row r="544" spans="1:11" x14ac:dyDescent="0.25">
      <c r="A544" s="23" t="s">
        <v>6</v>
      </c>
      <c r="B544" s="24">
        <v>45108</v>
      </c>
      <c r="C544" s="28">
        <v>0.16290499999999999</v>
      </c>
      <c r="D544" s="25">
        <f t="shared" ca="1" si="46"/>
        <v>124.18093676247696</v>
      </c>
      <c r="E544" s="26">
        <f>+E542*(1+C543*F544/365)</f>
        <v>124.29178440907033</v>
      </c>
      <c r="F544" s="27">
        <f t="shared" si="47"/>
        <v>4</v>
      </c>
      <c r="G544" s="28">
        <f t="shared" ca="1" si="48"/>
        <v>0.1510490043444265</v>
      </c>
      <c r="H544" s="28">
        <f t="shared" ref="H544:H607" ca="1" si="50">($D544/OFFSET($D544,-30,0)-1)*365/30</f>
        <v>0.13873255150351521</v>
      </c>
      <c r="I544" s="28">
        <f t="shared" ca="1" si="49"/>
        <v>0.13632308961477438</v>
      </c>
      <c r="J544" s="28">
        <f t="shared" ca="1" si="45"/>
        <v>0.1413046816675041</v>
      </c>
      <c r="K544" s="36">
        <v>14</v>
      </c>
    </row>
    <row r="545" spans="1:11" x14ac:dyDescent="0.25">
      <c r="A545" s="23" t="s">
        <v>6</v>
      </c>
      <c r="B545" s="24">
        <v>45109</v>
      </c>
      <c r="C545" s="28">
        <v>0.16290499999999999</v>
      </c>
      <c r="D545" s="25">
        <f t="shared" ca="1" si="46"/>
        <v>124.23626181615317</v>
      </c>
      <c r="E545" s="26">
        <f>+E544*(1+C544*F545/365)</f>
        <v>124.56915089042869</v>
      </c>
      <c r="F545" s="27">
        <f t="shared" si="47"/>
        <v>5</v>
      </c>
      <c r="G545" s="28">
        <f t="shared" ca="1" si="48"/>
        <v>0.15501107420005147</v>
      </c>
      <c r="H545" s="28">
        <f t="shared" ca="1" si="50"/>
        <v>0.13979312140997605</v>
      </c>
      <c r="I545" s="28">
        <f t="shared" ca="1" si="49"/>
        <v>0.13658394275921634</v>
      </c>
      <c r="J545" s="28">
        <f t="shared" ca="1" si="45"/>
        <v>0.14142516076855807</v>
      </c>
      <c r="K545" s="36">
        <v>14</v>
      </c>
    </row>
    <row r="546" spans="1:11" x14ac:dyDescent="0.25">
      <c r="A546" s="13" t="s">
        <v>7</v>
      </c>
      <c r="B546" s="29">
        <v>45110</v>
      </c>
      <c r="C546" s="20">
        <v>0.13500000000000001</v>
      </c>
      <c r="D546" s="30">
        <f t="shared" ca="1" si="46"/>
        <v>124.29158686982939</v>
      </c>
      <c r="E546" s="31">
        <f>+E540*(1+C545*F546/365)</f>
        <v>124.29158686982939</v>
      </c>
      <c r="F546" s="32">
        <f t="shared" si="47"/>
        <v>6</v>
      </c>
      <c r="G546" s="20">
        <f t="shared" ca="1" si="48"/>
        <v>0.15897021645792495</v>
      </c>
      <c r="H546" s="20">
        <f t="shared" ca="1" si="50"/>
        <v>0.1408100509276573</v>
      </c>
      <c r="I546" s="20">
        <f t="shared" ca="1" si="49"/>
        <v>0.13695756792011776</v>
      </c>
      <c r="J546" s="20">
        <f t="shared" ca="1" si="45"/>
        <v>0.14154554598016669</v>
      </c>
      <c r="K546" s="36">
        <v>14</v>
      </c>
    </row>
    <row r="547" spans="1:11" x14ac:dyDescent="0.25">
      <c r="A547" s="13" t="s">
        <v>7</v>
      </c>
      <c r="B547" s="29">
        <v>45111</v>
      </c>
      <c r="C547" s="20">
        <v>0.13500000000000001</v>
      </c>
      <c r="D547" s="30">
        <f t="shared" ca="1" si="46"/>
        <v>124.33755773072645</v>
      </c>
      <c r="E547" s="31">
        <f>+E546*(1+C546*F547/365)</f>
        <v>124.33755773072645</v>
      </c>
      <c r="F547" s="32">
        <f t="shared" si="47"/>
        <v>1</v>
      </c>
      <c r="G547" s="20">
        <f t="shared" ca="1" si="48"/>
        <v>0.15897021645792495</v>
      </c>
      <c r="H547" s="20">
        <f t="shared" ca="1" si="50"/>
        <v>0.14090031757275931</v>
      </c>
      <c r="I547" s="20">
        <f t="shared" ca="1" si="49"/>
        <v>0.13701497915890126</v>
      </c>
      <c r="J547" s="20">
        <f t="shared" ca="1" si="45"/>
        <v>0.14151287012448738</v>
      </c>
      <c r="K547" s="36">
        <v>14</v>
      </c>
    </row>
    <row r="548" spans="1:11" x14ac:dyDescent="0.25">
      <c r="A548" s="13" t="s">
        <v>7</v>
      </c>
      <c r="B548" s="29">
        <v>45112</v>
      </c>
      <c r="C548" s="20">
        <v>0.13500000000000001</v>
      </c>
      <c r="D548" s="30">
        <f t="shared" ca="1" si="46"/>
        <v>124.38354559454466</v>
      </c>
      <c r="E548" s="31">
        <f>+E547*(1+C547*F548/365)</f>
        <v>124.38354559454466</v>
      </c>
      <c r="F548" s="32">
        <f t="shared" si="47"/>
        <v>1</v>
      </c>
      <c r="G548" s="20">
        <f t="shared" ca="1" si="48"/>
        <v>0.15497341811812487</v>
      </c>
      <c r="H548" s="20">
        <f t="shared" ca="1" si="50"/>
        <v>0.14099220124359774</v>
      </c>
      <c r="I548" s="20">
        <f t="shared" ca="1" si="49"/>
        <v>0.13707239118386161</v>
      </c>
      <c r="J548" s="20">
        <f t="shared" ca="1" si="45"/>
        <v>0.14148316520790868</v>
      </c>
      <c r="K548" s="36">
        <v>14</v>
      </c>
    </row>
    <row r="549" spans="1:11" x14ac:dyDescent="0.25">
      <c r="A549" s="13" t="s">
        <v>7</v>
      </c>
      <c r="B549" s="29">
        <v>45113</v>
      </c>
      <c r="C549" s="20">
        <v>0.13500000000000001</v>
      </c>
      <c r="D549" s="30">
        <f t="shared" ca="1" si="46"/>
        <v>124.42955046757277</v>
      </c>
      <c r="E549" s="31">
        <f>+E548*(1+C548*F549/365)</f>
        <v>124.42955046757277</v>
      </c>
      <c r="F549" s="32">
        <f t="shared" si="47"/>
        <v>1</v>
      </c>
      <c r="G549" s="20">
        <f t="shared" ca="1" si="48"/>
        <v>0.1509873326976138</v>
      </c>
      <c r="H549" s="20">
        <f t="shared" ca="1" si="50"/>
        <v>0.14107141354723413</v>
      </c>
      <c r="I549" s="20">
        <f t="shared" ca="1" si="49"/>
        <v>0.13712980399500688</v>
      </c>
      <c r="J549" s="20">
        <f t="shared" ca="1" si="45"/>
        <v>0.14145346069809045</v>
      </c>
      <c r="K549" s="36">
        <v>14</v>
      </c>
    </row>
    <row r="550" spans="1:11" x14ac:dyDescent="0.25">
      <c r="A550" s="13" t="s">
        <v>7</v>
      </c>
      <c r="B550" s="29">
        <v>45114</v>
      </c>
      <c r="C550" s="20">
        <v>0.13500000000000001</v>
      </c>
      <c r="D550" s="30">
        <f t="shared" ca="1" si="46"/>
        <v>124.47557235610186</v>
      </c>
      <c r="E550" s="31">
        <f>+E549*(1+C549*F550/365)</f>
        <v>124.47557235610186</v>
      </c>
      <c r="F550" s="32">
        <f t="shared" si="47"/>
        <v>1</v>
      </c>
      <c r="G550" s="20">
        <f t="shared" ca="1" si="48"/>
        <v>0.14701194851432287</v>
      </c>
      <c r="H550" s="20">
        <f t="shared" ca="1" si="50"/>
        <v>0.14107346969673784</v>
      </c>
      <c r="I550" s="20">
        <f t="shared" ca="1" si="49"/>
        <v>0.13718721759234881</v>
      </c>
      <c r="J550" s="20">
        <f t="shared" ca="1" si="45"/>
        <v>0.14142375659502684</v>
      </c>
      <c r="K550" s="36">
        <v>14</v>
      </c>
    </row>
    <row r="551" spans="1:11" x14ac:dyDescent="0.25">
      <c r="A551" s="23" t="s">
        <v>6</v>
      </c>
      <c r="B551" s="24">
        <v>45115</v>
      </c>
      <c r="C551" s="28">
        <v>0.13500000000000001</v>
      </c>
      <c r="D551" s="25">
        <f t="shared" ca="1" si="46"/>
        <v>124.52161126642535</v>
      </c>
      <c r="E551" s="26">
        <f>+E550*(1+C550*F551/365)</f>
        <v>124.52161126642535</v>
      </c>
      <c r="F551" s="27">
        <f t="shared" si="47"/>
        <v>1</v>
      </c>
      <c r="G551" s="28">
        <f t="shared" ca="1" si="48"/>
        <v>0.14304725390799633</v>
      </c>
      <c r="H551" s="28">
        <f t="shared" ca="1" si="50"/>
        <v>0.14108179542248098</v>
      </c>
      <c r="I551" s="28">
        <f t="shared" ca="1" si="49"/>
        <v>0.13724516346687074</v>
      </c>
      <c r="J551" s="28">
        <f t="shared" ca="1" si="45"/>
        <v>0.1413943717816416</v>
      </c>
      <c r="K551" s="36">
        <v>14</v>
      </c>
    </row>
    <row r="552" spans="1:11" x14ac:dyDescent="0.25">
      <c r="A552" s="23" t="s">
        <v>6</v>
      </c>
      <c r="B552" s="24">
        <v>45116</v>
      </c>
      <c r="C552" s="28">
        <v>0.13500000000000001</v>
      </c>
      <c r="D552" s="25">
        <f t="shared" ca="1" si="46"/>
        <v>124.56765017674886</v>
      </c>
      <c r="E552" s="26">
        <f>+E550*(1+C551*F552/365)</f>
        <v>124.56765017674886</v>
      </c>
      <c r="F552" s="27">
        <f t="shared" si="47"/>
        <v>2</v>
      </c>
      <c r="G552" s="28">
        <f t="shared" ca="1" si="48"/>
        <v>0.13908609042758258</v>
      </c>
      <c r="H552" s="28">
        <f t="shared" ca="1" si="50"/>
        <v>0.1411336742550437</v>
      </c>
      <c r="I552" s="28">
        <f t="shared" ca="1" si="49"/>
        <v>0.13730306810893614</v>
      </c>
      <c r="J552" s="28">
        <f t="shared" ca="1" si="45"/>
        <v>0.14136437197133125</v>
      </c>
      <c r="K552" s="36">
        <v>14</v>
      </c>
    </row>
    <row r="553" spans="1:11" x14ac:dyDescent="0.25">
      <c r="A553" s="13" t="s">
        <v>7</v>
      </c>
      <c r="B553" s="29">
        <v>45117</v>
      </c>
      <c r="C553" s="20">
        <v>0.13500000000000001</v>
      </c>
      <c r="D553" s="30">
        <f t="shared" ca="1" si="46"/>
        <v>124.61368908707234</v>
      </c>
      <c r="E553" s="31">
        <f>+E550*(1+C552*F553/365)</f>
        <v>124.61368908707234</v>
      </c>
      <c r="F553" s="32">
        <f t="shared" si="47"/>
        <v>3</v>
      </c>
      <c r="G553" s="20">
        <f t="shared" ca="1" si="48"/>
        <v>0.13512845335772794</v>
      </c>
      <c r="H553" s="20">
        <f t="shared" ca="1" si="50"/>
        <v>0.14116782719650114</v>
      </c>
      <c r="I553" s="20">
        <f t="shared" ca="1" si="49"/>
        <v>0.13735933818020682</v>
      </c>
      <c r="J553" s="20">
        <f t="shared" ca="1" si="45"/>
        <v>0.14133407628282235</v>
      </c>
      <c r="K553" s="36">
        <v>14</v>
      </c>
    </row>
    <row r="554" spans="1:11" x14ac:dyDescent="0.25">
      <c r="A554" s="13" t="s">
        <v>7</v>
      </c>
      <c r="B554" s="29">
        <v>45118</v>
      </c>
      <c r="C554" s="20">
        <v>0.13500000000000001</v>
      </c>
      <c r="D554" s="30">
        <f t="shared" ca="1" si="46"/>
        <v>124.65977908166619</v>
      </c>
      <c r="E554" s="31">
        <f>+E553*(1+C553*F554/365)</f>
        <v>124.65977908166619</v>
      </c>
      <c r="F554" s="32">
        <f t="shared" si="47"/>
        <v>1</v>
      </c>
      <c r="G554" s="20">
        <f t="shared" ca="1" si="48"/>
        <v>0.13512845335771637</v>
      </c>
      <c r="H554" s="20">
        <f t="shared" ca="1" si="50"/>
        <v>0.14120699873836526</v>
      </c>
      <c r="I554" s="20">
        <f t="shared" ca="1" si="49"/>
        <v>0.13741675492073332</v>
      </c>
      <c r="J554" s="20">
        <f t="shared" ca="1" si="45"/>
        <v>0.14130437381453473</v>
      </c>
      <c r="K554" s="36">
        <v>14</v>
      </c>
    </row>
    <row r="555" spans="1:11" x14ac:dyDescent="0.25">
      <c r="A555" s="13" t="s">
        <v>7</v>
      </c>
      <c r="B555" s="29">
        <v>45119</v>
      </c>
      <c r="C555" s="20">
        <v>0.13500000000000001</v>
      </c>
      <c r="D555" s="30">
        <f t="shared" ca="1" si="46"/>
        <v>124.70588612324433</v>
      </c>
      <c r="E555" s="31">
        <f>+E554*(1+C554*F555/365)</f>
        <v>124.70588612324433</v>
      </c>
      <c r="F555" s="32">
        <f t="shared" si="47"/>
        <v>1</v>
      </c>
      <c r="G555" s="20">
        <f t="shared" ca="1" si="48"/>
        <v>0.13512845335771637</v>
      </c>
      <c r="H555" s="20">
        <f t="shared" ca="1" si="50"/>
        <v>0.14124782403578368</v>
      </c>
      <c r="I555" s="20">
        <f t="shared" ca="1" si="49"/>
        <v>0.13747417244751053</v>
      </c>
      <c r="J555" s="20">
        <f t="shared" ca="1" si="45"/>
        <v>0.1412746717529747</v>
      </c>
      <c r="K555" s="36">
        <v>14</v>
      </c>
    </row>
    <row r="556" spans="1:11" x14ac:dyDescent="0.25">
      <c r="A556" s="13" t="s">
        <v>7</v>
      </c>
      <c r="B556" s="29">
        <v>45120</v>
      </c>
      <c r="C556" s="20">
        <v>0.13753000000000001</v>
      </c>
      <c r="D556" s="30">
        <f t="shared" ca="1" si="46"/>
        <v>124.75201021811182</v>
      </c>
      <c r="E556" s="31">
        <f>+E555*(1+C555*F556/365)</f>
        <v>124.75201021811182</v>
      </c>
      <c r="F556" s="32">
        <f t="shared" si="47"/>
        <v>1</v>
      </c>
      <c r="G556" s="20">
        <f t="shared" ca="1" si="48"/>
        <v>0.13512845335771637</v>
      </c>
      <c r="H556" s="20">
        <f t="shared" ca="1" si="50"/>
        <v>0.14127479037197629</v>
      </c>
      <c r="I556" s="20">
        <f t="shared" ca="1" si="49"/>
        <v>0.13753159076054922</v>
      </c>
      <c r="J556" s="20">
        <f t="shared" ca="1" si="45"/>
        <v>0.14124497009813644</v>
      </c>
      <c r="K556" s="36">
        <v>14</v>
      </c>
    </row>
    <row r="557" spans="1:11" x14ac:dyDescent="0.25">
      <c r="A557" s="13" t="s">
        <v>7</v>
      </c>
      <c r="B557" s="29">
        <v>45121</v>
      </c>
      <c r="C557" s="20">
        <v>0.13939699999999999</v>
      </c>
      <c r="D557" s="30">
        <f t="shared" ca="1" si="46"/>
        <v>124.79901609198934</v>
      </c>
      <c r="E557" s="31">
        <f>+E556*(1+C556*F557/365)</f>
        <v>124.79901609198934</v>
      </c>
      <c r="F557" s="32">
        <f t="shared" si="47"/>
        <v>1</v>
      </c>
      <c r="G557" s="20">
        <f t="shared" ca="1" si="48"/>
        <v>0.13549068459700625</v>
      </c>
      <c r="H557" s="20">
        <f t="shared" ca="1" si="50"/>
        <v>0.14138370087136462</v>
      </c>
      <c r="I557" s="20">
        <f t="shared" ca="1" si="49"/>
        <v>0.13761806392411235</v>
      </c>
      <c r="J557" s="20">
        <f t="shared" ca="1" si="45"/>
        <v>0.14123061654041852</v>
      </c>
      <c r="K557" s="36">
        <v>14</v>
      </c>
    </row>
    <row r="558" spans="1:11" x14ac:dyDescent="0.25">
      <c r="A558" s="23" t="s">
        <v>6</v>
      </c>
      <c r="B558" s="24">
        <v>45122</v>
      </c>
      <c r="C558" s="28">
        <v>0.13939699999999999</v>
      </c>
      <c r="D558" s="25">
        <f t="shared" ca="1" si="46"/>
        <v>124.84667803293777</v>
      </c>
      <c r="E558" s="26">
        <f>+E557*(1+C557*F558/365)</f>
        <v>124.84667803293777</v>
      </c>
      <c r="F558" s="27">
        <f t="shared" si="47"/>
        <v>1</v>
      </c>
      <c r="G558" s="28">
        <f t="shared" ca="1" si="48"/>
        <v>0.13612022680851407</v>
      </c>
      <c r="H558" s="28">
        <f t="shared" ca="1" si="50"/>
        <v>0.14155042197081411</v>
      </c>
      <c r="I558" s="28">
        <f t="shared" ca="1" si="49"/>
        <v>0.13772651115682263</v>
      </c>
      <c r="J558" s="28">
        <f t="shared" ca="1" si="45"/>
        <v>0.14122767206602588</v>
      </c>
      <c r="K558" s="36">
        <v>14</v>
      </c>
    </row>
    <row r="559" spans="1:11" x14ac:dyDescent="0.25">
      <c r="A559" s="23" t="s">
        <v>6</v>
      </c>
      <c r="B559" s="24">
        <v>45123</v>
      </c>
      <c r="C559" s="28">
        <v>0.13939699999999999</v>
      </c>
      <c r="D559" s="25">
        <f t="shared" ca="1" si="46"/>
        <v>124.89433997388618</v>
      </c>
      <c r="E559" s="26">
        <f>+E557*(1+C558*F559/365)</f>
        <v>124.89433997388618</v>
      </c>
      <c r="F559" s="27">
        <f t="shared" si="47"/>
        <v>2</v>
      </c>
      <c r="G559" s="28">
        <f t="shared" ca="1" si="48"/>
        <v>0.13674930367546839</v>
      </c>
      <c r="H559" s="28">
        <f t="shared" ca="1" si="50"/>
        <v>0.14169684514994013</v>
      </c>
      <c r="I559" s="28">
        <f t="shared" ca="1" si="49"/>
        <v>0.13783488122190291</v>
      </c>
      <c r="J559" s="28">
        <f t="shared" ca="1" si="45"/>
        <v>0.14122377400594674</v>
      </c>
      <c r="K559" s="36">
        <v>14</v>
      </c>
    </row>
    <row r="560" spans="1:11" x14ac:dyDescent="0.25">
      <c r="A560" s="13" t="s">
        <v>7</v>
      </c>
      <c r="B560" s="29">
        <v>45124</v>
      </c>
      <c r="C560" s="20">
        <v>0.13500000000000001</v>
      </c>
      <c r="D560" s="30">
        <f t="shared" ca="1" si="46"/>
        <v>124.94200191483462</v>
      </c>
      <c r="E560" s="31">
        <f>+E557*(1+C559*F560/365)</f>
        <v>124.94200191483462</v>
      </c>
      <c r="F560" s="32">
        <f t="shared" si="47"/>
        <v>3</v>
      </c>
      <c r="G560" s="20">
        <f t="shared" ca="1" si="48"/>
        <v>0.13737791571369404</v>
      </c>
      <c r="H560" s="20">
        <f t="shared" ca="1" si="50"/>
        <v>0.14184147755343032</v>
      </c>
      <c r="I560" s="20">
        <f t="shared" ca="1" si="49"/>
        <v>0.1379415805980953</v>
      </c>
      <c r="J560" s="20">
        <f t="shared" ca="1" si="45"/>
        <v>0.14121956007659262</v>
      </c>
      <c r="K560" s="36">
        <v>14</v>
      </c>
    </row>
    <row r="561" spans="1:11" x14ac:dyDescent="0.25">
      <c r="A561" s="13" t="s">
        <v>7</v>
      </c>
      <c r="B561" s="29">
        <v>45125</v>
      </c>
      <c r="C561" s="20">
        <v>0.13500000000000001</v>
      </c>
      <c r="D561" s="30">
        <f t="shared" ca="1" si="46"/>
        <v>124.98821334020037</v>
      </c>
      <c r="E561" s="31">
        <f>+E560*(1+C560*F561/365)</f>
        <v>124.98821334020037</v>
      </c>
      <c r="F561" s="32">
        <f t="shared" si="47"/>
        <v>1</v>
      </c>
      <c r="G561" s="20">
        <f t="shared" ca="1" si="48"/>
        <v>0.13737791571369404</v>
      </c>
      <c r="H561" s="20">
        <f t="shared" ca="1" si="50"/>
        <v>0.14184316009609135</v>
      </c>
      <c r="I561" s="20">
        <f t="shared" ca="1" si="49"/>
        <v>0.13799900531170547</v>
      </c>
      <c r="J561" s="20">
        <f t="shared" ca="1" si="45"/>
        <v>0.14118985917641902</v>
      </c>
      <c r="K561" s="36">
        <v>14</v>
      </c>
    </row>
    <row r="562" spans="1:11" x14ac:dyDescent="0.25">
      <c r="A562" s="13" t="s">
        <v>7</v>
      </c>
      <c r="B562" s="29">
        <v>45126</v>
      </c>
      <c r="C562" s="20">
        <v>0.13500000000000001</v>
      </c>
      <c r="D562" s="30">
        <f t="shared" ca="1" si="46"/>
        <v>125.03444185746318</v>
      </c>
      <c r="E562" s="31">
        <f>+E561*(1+C561*F562/365)</f>
        <v>125.03444185746318</v>
      </c>
      <c r="F562" s="32">
        <f t="shared" si="47"/>
        <v>1</v>
      </c>
      <c r="G562" s="20">
        <f t="shared" ca="1" si="48"/>
        <v>0.13737791571369404</v>
      </c>
      <c r="H562" s="20">
        <f t="shared" ca="1" si="50"/>
        <v>0.14184652393863628</v>
      </c>
      <c r="I562" s="20">
        <f t="shared" ca="1" si="49"/>
        <v>0.13805643081167621</v>
      </c>
      <c r="J562" s="20">
        <f t="shared" ca="1" si="45"/>
        <v>0.14116015868295143</v>
      </c>
      <c r="K562" s="36">
        <v>14</v>
      </c>
    </row>
    <row r="563" spans="1:11" x14ac:dyDescent="0.25">
      <c r="A563" s="13" t="s">
        <v>7</v>
      </c>
      <c r="B563" s="29">
        <v>45127</v>
      </c>
      <c r="C563" s="20">
        <v>0.13500000000000001</v>
      </c>
      <c r="D563" s="30">
        <f t="shared" ca="1" si="46"/>
        <v>125.0806874729447</v>
      </c>
      <c r="E563" s="31">
        <f>+E562*(1+C562*F563/365)</f>
        <v>125.0806874729447</v>
      </c>
      <c r="F563" s="32">
        <f t="shared" si="47"/>
        <v>1</v>
      </c>
      <c r="G563" s="20">
        <f t="shared" ca="1" si="48"/>
        <v>0.13737791571369404</v>
      </c>
      <c r="H563" s="20">
        <f t="shared" ca="1" si="50"/>
        <v>0.14184652393863897</v>
      </c>
      <c r="I563" s="20">
        <f t="shared" ca="1" si="49"/>
        <v>0.13811385709801738</v>
      </c>
      <c r="J563" s="20">
        <f t="shared" ca="1" si="45"/>
        <v>0.14113045859618356</v>
      </c>
      <c r="K563" s="36">
        <v>14</v>
      </c>
    </row>
    <row r="564" spans="1:11" x14ac:dyDescent="0.25">
      <c r="A564" s="13" t="s">
        <v>7</v>
      </c>
      <c r="B564" s="29">
        <v>45128</v>
      </c>
      <c r="C564" s="20">
        <v>0.13500000000000001</v>
      </c>
      <c r="D564" s="30">
        <f t="shared" ca="1" si="46"/>
        <v>125.12695019296893</v>
      </c>
      <c r="E564" s="31">
        <f>+E563*(1+C563*F564/365)</f>
        <v>125.12695019296893</v>
      </c>
      <c r="F564" s="32">
        <f t="shared" si="47"/>
        <v>1</v>
      </c>
      <c r="G564" s="20">
        <f t="shared" ca="1" si="48"/>
        <v>0.13701567139796883</v>
      </c>
      <c r="H564" s="20">
        <f t="shared" ca="1" si="50"/>
        <v>0.14184652393863897</v>
      </c>
      <c r="I564" s="20">
        <f t="shared" ca="1" si="49"/>
        <v>0.13817181577917542</v>
      </c>
      <c r="J564" s="20">
        <f t="shared" ca="1" si="45"/>
        <v>0.14110107775592207</v>
      </c>
      <c r="K564" s="36">
        <v>14</v>
      </c>
    </row>
    <row r="565" spans="1:11" x14ac:dyDescent="0.25">
      <c r="A565" s="23" t="s">
        <v>6</v>
      </c>
      <c r="B565" s="24">
        <v>45129</v>
      </c>
      <c r="C565" s="28">
        <v>0.13500000000000001</v>
      </c>
      <c r="D565" s="25">
        <f t="shared" ca="1" si="46"/>
        <v>125.17323002386222</v>
      </c>
      <c r="E565" s="26">
        <f>+E564*(1+C564*F565/365)</f>
        <v>125.17323002386222</v>
      </c>
      <c r="F565" s="27">
        <f t="shared" si="47"/>
        <v>1</v>
      </c>
      <c r="G565" s="28">
        <f t="shared" ca="1" si="48"/>
        <v>0.13638611840354278</v>
      </c>
      <c r="H565" s="28">
        <f t="shared" ca="1" si="50"/>
        <v>0.14184652393863897</v>
      </c>
      <c r="I565" s="28">
        <f t="shared" ca="1" si="49"/>
        <v>0.13823030649885654</v>
      </c>
      <c r="J565" s="28">
        <f t="shared" ca="1" si="45"/>
        <v>0.14107201590485174</v>
      </c>
      <c r="K565" s="36">
        <v>14</v>
      </c>
    </row>
    <row r="566" spans="1:11" x14ac:dyDescent="0.25">
      <c r="A566" s="23" t="s">
        <v>6</v>
      </c>
      <c r="B566" s="24">
        <v>45130</v>
      </c>
      <c r="C566" s="28">
        <v>0.13500000000000001</v>
      </c>
      <c r="D566" s="25">
        <f t="shared" ca="1" si="46"/>
        <v>125.21950985475553</v>
      </c>
      <c r="E566" s="26">
        <f>+E564*(1+C565*F566/365)</f>
        <v>125.21950985475553</v>
      </c>
      <c r="F566" s="27">
        <f t="shared" si="47"/>
        <v>2</v>
      </c>
      <c r="G566" s="28">
        <f t="shared" ca="1" si="48"/>
        <v>0.13575704590676602</v>
      </c>
      <c r="H566" s="28">
        <f t="shared" ca="1" si="50"/>
        <v>0.1418448413955187</v>
      </c>
      <c r="I566" s="28">
        <f t="shared" ca="1" si="49"/>
        <v>0.13828875561318985</v>
      </c>
      <c r="J566" s="28">
        <f t="shared" ref="J566:J629" ca="1" si="51">($D566/OFFSET($D566,-180,0)-1)*365/180</f>
        <v>0.14104202055274692</v>
      </c>
      <c r="K566" s="36">
        <v>14</v>
      </c>
    </row>
    <row r="567" spans="1:11" x14ac:dyDescent="0.25">
      <c r="A567" s="13" t="s">
        <v>7</v>
      </c>
      <c r="B567" s="29">
        <v>45131</v>
      </c>
      <c r="C567" s="20">
        <v>0.13500000000000001</v>
      </c>
      <c r="D567" s="30">
        <f t="shared" ca="1" si="46"/>
        <v>125.26578968564881</v>
      </c>
      <c r="E567" s="31">
        <f>+E564*(1+C566*F567/365)</f>
        <v>125.26578968564881</v>
      </c>
      <c r="F567" s="32">
        <f t="shared" si="47"/>
        <v>3</v>
      </c>
      <c r="G567" s="20">
        <f t="shared" ca="1" si="48"/>
        <v>0.13512845335771637</v>
      </c>
      <c r="H567" s="20">
        <f t="shared" ca="1" si="50"/>
        <v>0.14184147755343302</v>
      </c>
      <c r="I567" s="20">
        <f t="shared" ca="1" si="49"/>
        <v>0.13834716316654819</v>
      </c>
      <c r="J567" s="20">
        <f t="shared" ca="1" si="51"/>
        <v>0.14101172936641296</v>
      </c>
      <c r="K567" s="36">
        <v>14</v>
      </c>
    </row>
    <row r="568" spans="1:11" x14ac:dyDescent="0.25">
      <c r="A568" s="13" t="s">
        <v>7</v>
      </c>
      <c r="B568" s="29">
        <v>45132</v>
      </c>
      <c r="C568" s="20">
        <v>0.13500000000000001</v>
      </c>
      <c r="D568" s="30">
        <f t="shared" ca="1" si="46"/>
        <v>125.31212086813528</v>
      </c>
      <c r="E568" s="31">
        <f>+E567*(1+C567*F568/365)</f>
        <v>125.31212086813528</v>
      </c>
      <c r="F568" s="32">
        <f t="shared" si="47"/>
        <v>1</v>
      </c>
      <c r="G568" s="20">
        <f t="shared" ca="1" si="48"/>
        <v>0.13512845335771637</v>
      </c>
      <c r="H568" s="20">
        <f t="shared" ca="1" si="50"/>
        <v>0.14184316009609405</v>
      </c>
      <c r="I568" s="20">
        <f t="shared" ca="1" si="49"/>
        <v>0.13840459343410691</v>
      </c>
      <c r="J568" s="20">
        <f t="shared" ca="1" si="51"/>
        <v>0.14098203131214396</v>
      </c>
      <c r="K568" s="36">
        <v>14</v>
      </c>
    </row>
    <row r="569" spans="1:11" x14ac:dyDescent="0.25">
      <c r="A569" s="13" t="s">
        <v>7</v>
      </c>
      <c r="B569" s="29">
        <v>45133</v>
      </c>
      <c r="C569" s="20">
        <v>0.13500000000000001</v>
      </c>
      <c r="D569" s="30">
        <f t="shared" ca="1" si="46"/>
        <v>125.35846918681253</v>
      </c>
      <c r="E569" s="31">
        <f>+E568*(1+C568*F569/365)</f>
        <v>125.35846918681253</v>
      </c>
      <c r="F569" s="32">
        <f t="shared" si="47"/>
        <v>1</v>
      </c>
      <c r="G569" s="20">
        <f t="shared" ca="1" si="48"/>
        <v>0.13512845335771637</v>
      </c>
      <c r="H569" s="20">
        <f t="shared" ca="1" si="50"/>
        <v>0.14184652393863897</v>
      </c>
      <c r="I569" s="20">
        <f t="shared" ca="1" si="49"/>
        <v>0.13846202448810094</v>
      </c>
      <c r="J569" s="20">
        <f t="shared" ca="1" si="51"/>
        <v>0.14095233366454132</v>
      </c>
      <c r="K569" s="36">
        <v>14</v>
      </c>
    </row>
    <row r="570" spans="1:11" x14ac:dyDescent="0.25">
      <c r="A570" s="13" t="s">
        <v>7</v>
      </c>
      <c r="B570" s="29">
        <v>45134</v>
      </c>
      <c r="C570" s="20">
        <v>0.13500000000000001</v>
      </c>
      <c r="D570" s="30">
        <f t="shared" ca="1" si="46"/>
        <v>125.40483464801861</v>
      </c>
      <c r="E570" s="31">
        <f>+E569*(1+C569*F570/365)</f>
        <v>125.40483464801861</v>
      </c>
      <c r="F570" s="32">
        <f t="shared" si="47"/>
        <v>1</v>
      </c>
      <c r="G570" s="20">
        <f t="shared" ca="1" si="48"/>
        <v>0.13512845335771637</v>
      </c>
      <c r="H570" s="20">
        <f t="shared" ca="1" si="50"/>
        <v>0.14184652393863897</v>
      </c>
      <c r="I570" s="20">
        <f t="shared" ca="1" si="49"/>
        <v>0.13851945632854101</v>
      </c>
      <c r="J570" s="20">
        <f t="shared" ca="1" si="51"/>
        <v>0.14092263642360012</v>
      </c>
      <c r="K570" s="36">
        <v>14</v>
      </c>
    </row>
    <row r="571" spans="1:11" x14ac:dyDescent="0.25">
      <c r="A571" s="13" t="s">
        <v>7</v>
      </c>
      <c r="B571" s="29">
        <v>45135</v>
      </c>
      <c r="C571" s="20">
        <v>0.13500000000000001</v>
      </c>
      <c r="D571" s="30">
        <f t="shared" ca="1" si="46"/>
        <v>125.45121725809389</v>
      </c>
      <c r="E571" s="31">
        <f>+E570*(1+C570*F571/365)</f>
        <v>125.45121725809389</v>
      </c>
      <c r="F571" s="32">
        <f t="shared" si="47"/>
        <v>1</v>
      </c>
      <c r="G571" s="20">
        <f t="shared" ca="1" si="48"/>
        <v>0.13512845335771637</v>
      </c>
      <c r="H571" s="20">
        <f t="shared" ca="1" si="50"/>
        <v>0.14090593261383191</v>
      </c>
      <c r="I571" s="20">
        <f t="shared" ca="1" si="49"/>
        <v>0.13854776439833119</v>
      </c>
      <c r="J571" s="20">
        <f t="shared" ca="1" si="51"/>
        <v>0.14089325839857531</v>
      </c>
      <c r="K571" s="36">
        <v>14</v>
      </c>
    </row>
    <row r="572" spans="1:11" x14ac:dyDescent="0.25">
      <c r="A572" s="23" t="s">
        <v>6</v>
      </c>
      <c r="B572" s="24">
        <v>45136</v>
      </c>
      <c r="C572" s="28">
        <v>0.13500000000000001</v>
      </c>
      <c r="D572" s="25">
        <f t="shared" ca="1" si="46"/>
        <v>125.49761702338112</v>
      </c>
      <c r="E572" s="26">
        <f>+E571*(1+C571*F572/365)</f>
        <v>125.49761702338112</v>
      </c>
      <c r="F572" s="27">
        <f t="shared" si="47"/>
        <v>1</v>
      </c>
      <c r="G572" s="28">
        <f t="shared" ca="1" si="48"/>
        <v>0.13512845335771637</v>
      </c>
      <c r="H572" s="28">
        <f t="shared" ca="1" si="50"/>
        <v>0.13996786242672238</v>
      </c>
      <c r="I572" s="28">
        <f t="shared" ca="1" si="49"/>
        <v>0.1385766252525274</v>
      </c>
      <c r="J572" s="28">
        <f t="shared" ca="1" si="51"/>
        <v>0.14086419933217642</v>
      </c>
      <c r="K572" s="36">
        <v>14</v>
      </c>
    </row>
    <row r="573" spans="1:11" x14ac:dyDescent="0.25">
      <c r="A573" s="23" t="s">
        <v>6</v>
      </c>
      <c r="B573" s="24">
        <v>45137</v>
      </c>
      <c r="C573" s="28">
        <v>0.13500000000000001</v>
      </c>
      <c r="D573" s="25">
        <f t="shared" ca="1" si="46"/>
        <v>125.54401678866839</v>
      </c>
      <c r="E573" s="26">
        <f>+E571*(1+C572*F573/365)</f>
        <v>125.54401678866839</v>
      </c>
      <c r="F573" s="27">
        <f t="shared" si="47"/>
        <v>2</v>
      </c>
      <c r="G573" s="28">
        <f t="shared" ca="1" si="48"/>
        <v>0.13512845335771637</v>
      </c>
      <c r="H573" s="28">
        <f t="shared" ca="1" si="50"/>
        <v>0.13903062846966205</v>
      </c>
      <c r="I573" s="28">
        <f t="shared" ca="1" si="49"/>
        <v>0.1386054651701441</v>
      </c>
      <c r="J573" s="28">
        <f t="shared" ca="1" si="51"/>
        <v>0.14083420685419018</v>
      </c>
      <c r="K573" s="36">
        <v>14</v>
      </c>
    </row>
    <row r="574" spans="1:11" x14ac:dyDescent="0.25">
      <c r="A574" s="13" t="s">
        <v>7</v>
      </c>
      <c r="B574" s="29">
        <v>45138</v>
      </c>
      <c r="C574" s="20">
        <v>0.135545</v>
      </c>
      <c r="D574" s="30">
        <f t="shared" ca="1" si="46"/>
        <v>125.59041655395562</v>
      </c>
      <c r="E574" s="31">
        <f>+E571*(1+C573*F574/365)</f>
        <v>125.59041655395562</v>
      </c>
      <c r="F574" s="32">
        <f t="shared" si="47"/>
        <v>3</v>
      </c>
      <c r="G574" s="20">
        <f t="shared" ca="1" si="48"/>
        <v>0.13512845335771637</v>
      </c>
      <c r="H574" s="20">
        <f t="shared" ca="1" si="50"/>
        <v>0.13809422962498763</v>
      </c>
      <c r="I574" s="20">
        <f t="shared" ca="1" si="49"/>
        <v>0.13866175272017628</v>
      </c>
      <c r="J574" s="20">
        <f t="shared" ca="1" si="51"/>
        <v>0.14080391857032118</v>
      </c>
      <c r="K574" s="36">
        <v>14</v>
      </c>
    </row>
    <row r="575" spans="1:11" x14ac:dyDescent="0.25">
      <c r="A575" s="13" t="s">
        <v>7</v>
      </c>
      <c r="B575" s="29">
        <v>45139</v>
      </c>
      <c r="C575" s="20">
        <v>0.13500000000000001</v>
      </c>
      <c r="D575" s="30">
        <f t="shared" ca="1" si="46"/>
        <v>125.63705532933044</v>
      </c>
      <c r="E575" s="31">
        <f>+E574*(1+C574*F575/365)</f>
        <v>125.63705532933044</v>
      </c>
      <c r="F575" s="32">
        <f t="shared" si="47"/>
        <v>1</v>
      </c>
      <c r="G575" s="20">
        <f t="shared" ca="1" si="48"/>
        <v>0.13520648340728778</v>
      </c>
      <c r="H575" s="20">
        <f t="shared" ca="1" si="50"/>
        <v>0.13718207143802483</v>
      </c>
      <c r="I575" s="20">
        <f t="shared" ca="1" si="49"/>
        <v>0.13872544766437195</v>
      </c>
      <c r="J575" s="20">
        <f t="shared" ca="1" si="51"/>
        <v>0.14077746013942583</v>
      </c>
      <c r="K575" s="36">
        <v>14</v>
      </c>
    </row>
    <row r="576" spans="1:11" x14ac:dyDescent="0.25">
      <c r="A576" s="13" t="s">
        <v>7</v>
      </c>
      <c r="B576" s="29">
        <v>45140</v>
      </c>
      <c r="C576" s="20">
        <v>0.13500000000000001</v>
      </c>
      <c r="D576" s="30">
        <f t="shared" ca="1" si="46"/>
        <v>125.68352382924675</v>
      </c>
      <c r="E576" s="31">
        <f>+E575*(1+C575*F576/365)</f>
        <v>125.68352382924675</v>
      </c>
      <c r="F576" s="32">
        <f t="shared" si="47"/>
        <v>1</v>
      </c>
      <c r="G576" s="20">
        <f t="shared" ca="1" si="48"/>
        <v>0.13520648340728778</v>
      </c>
      <c r="H576" s="20">
        <f t="shared" ca="1" si="50"/>
        <v>0.13625405735611673</v>
      </c>
      <c r="I576" s="20">
        <f t="shared" ca="1" si="49"/>
        <v>0.13878288311206494</v>
      </c>
      <c r="J576" s="20">
        <f t="shared" ca="1" si="51"/>
        <v>0.1407477652930938</v>
      </c>
      <c r="K576" s="36">
        <v>14</v>
      </c>
    </row>
    <row r="577" spans="1:11" x14ac:dyDescent="0.25">
      <c r="A577" s="13" t="s">
        <v>7</v>
      </c>
      <c r="B577" s="29">
        <v>45141</v>
      </c>
      <c r="C577" s="20">
        <v>0.13500000000000001</v>
      </c>
      <c r="D577" s="30">
        <f t="shared" ca="1" si="46"/>
        <v>125.73000951614249</v>
      </c>
      <c r="E577" s="31">
        <f>+E576*(1+C576*F577/365)</f>
        <v>125.73000951614249</v>
      </c>
      <c r="F577" s="32">
        <f t="shared" si="47"/>
        <v>1</v>
      </c>
      <c r="G577" s="20">
        <f t="shared" ca="1" si="48"/>
        <v>0.13520648340728778</v>
      </c>
      <c r="H577" s="20">
        <f t="shared" ca="1" si="50"/>
        <v>0.13625405735611673</v>
      </c>
      <c r="I577" s="20">
        <f t="shared" ca="1" si="49"/>
        <v>0.13884031934626434</v>
      </c>
      <c r="J577" s="20">
        <f t="shared" ca="1" si="51"/>
        <v>0.14071807085338447</v>
      </c>
      <c r="K577" s="36">
        <v>14</v>
      </c>
    </row>
    <row r="578" spans="1:11" x14ac:dyDescent="0.25">
      <c r="A578" s="13" t="s">
        <v>7</v>
      </c>
      <c r="B578" s="29">
        <v>45142</v>
      </c>
      <c r="C578" s="20">
        <v>0.13500000000000001</v>
      </c>
      <c r="D578" s="30">
        <f t="shared" ca="1" si="46"/>
        <v>125.77651239637447</v>
      </c>
      <c r="E578" s="31">
        <f>+E577*(1+C577*F578/365)</f>
        <v>125.77651239637447</v>
      </c>
      <c r="F578" s="32">
        <f t="shared" si="47"/>
        <v>1</v>
      </c>
      <c r="G578" s="20">
        <f t="shared" ca="1" si="48"/>
        <v>0.13520648340728778</v>
      </c>
      <c r="H578" s="20">
        <f t="shared" ca="1" si="50"/>
        <v>0.13625405735611404</v>
      </c>
      <c r="I578" s="20">
        <f t="shared" ca="1" si="49"/>
        <v>0.13889775636698098</v>
      </c>
      <c r="J578" s="20">
        <f t="shared" ca="1" si="51"/>
        <v>0.14068869559948102</v>
      </c>
      <c r="K578" s="36">
        <v>14</v>
      </c>
    </row>
    <row r="579" spans="1:11" x14ac:dyDescent="0.25">
      <c r="A579" s="23" t="s">
        <v>6</v>
      </c>
      <c r="B579" s="24">
        <v>45143</v>
      </c>
      <c r="C579" s="28">
        <v>0.13500000000000001</v>
      </c>
      <c r="D579" s="25">
        <f t="shared" ref="D579:D642" ca="1" si="52">+IF(F579=1,D578*(1+C578*F579/365),OFFSET(D578,-F579+1,0)*(1+C578*F579/365))</f>
        <v>125.82303247630189</v>
      </c>
      <c r="E579" s="26">
        <f>+E578*(1+C578*F579/365)</f>
        <v>125.82303247630189</v>
      </c>
      <c r="F579" s="27">
        <f t="shared" si="47"/>
        <v>1</v>
      </c>
      <c r="G579" s="28">
        <f t="shared" ca="1" si="48"/>
        <v>0.13520648340728778</v>
      </c>
      <c r="H579" s="28">
        <f t="shared" ca="1" si="50"/>
        <v>0.13625405735611673</v>
      </c>
      <c r="I579" s="28">
        <f t="shared" ca="1" si="49"/>
        <v>0.13895572588203306</v>
      </c>
      <c r="J579" s="28">
        <f t="shared" ca="1" si="51"/>
        <v>0.14065963927411734</v>
      </c>
      <c r="K579" s="36">
        <v>14</v>
      </c>
    </row>
    <row r="580" spans="1:11" x14ac:dyDescent="0.25">
      <c r="A580" s="23" t="s">
        <v>6</v>
      </c>
      <c r="B580" s="24">
        <v>45144</v>
      </c>
      <c r="C580" s="28">
        <v>0.13500000000000001</v>
      </c>
      <c r="D580" s="25">
        <f t="shared" ca="1" si="52"/>
        <v>125.86955255622934</v>
      </c>
      <c r="E580" s="26">
        <f>+E578*(1+C579*F580/365)</f>
        <v>125.86955255622934</v>
      </c>
      <c r="F580" s="27">
        <f t="shared" si="47"/>
        <v>2</v>
      </c>
      <c r="G580" s="28">
        <f t="shared" ca="1" si="48"/>
        <v>0.13520648340728778</v>
      </c>
      <c r="H580" s="28">
        <f t="shared" ca="1" si="50"/>
        <v>0.13625237557747086</v>
      </c>
      <c r="I580" s="28">
        <f t="shared" ca="1" si="49"/>
        <v>0.13901365414780789</v>
      </c>
      <c r="J580" s="28">
        <f t="shared" ca="1" si="51"/>
        <v>0.14062964962521182</v>
      </c>
      <c r="K580" s="36">
        <v>14</v>
      </c>
    </row>
    <row r="581" spans="1:11" x14ac:dyDescent="0.25">
      <c r="A581" s="13" t="s">
        <v>7</v>
      </c>
      <c r="B581" s="29">
        <v>45145</v>
      </c>
      <c r="C581" s="20">
        <v>0.13500000000000001</v>
      </c>
      <c r="D581" s="30">
        <f t="shared" ca="1" si="52"/>
        <v>125.91607263615676</v>
      </c>
      <c r="E581" s="31">
        <f>+E578*(1+C580*F581/365)</f>
        <v>125.91607263615676</v>
      </c>
      <c r="F581" s="32">
        <f t="shared" si="47"/>
        <v>3</v>
      </c>
      <c r="G581" s="20">
        <f t="shared" ca="1" si="48"/>
        <v>0.13520648340728778</v>
      </c>
      <c r="H581" s="20">
        <f t="shared" ca="1" si="50"/>
        <v>0.13624901326377217</v>
      </c>
      <c r="I581" s="20">
        <f t="shared" ca="1" si="49"/>
        <v>0.13906994717592117</v>
      </c>
      <c r="J581" s="20">
        <f t="shared" ca="1" si="51"/>
        <v>0.14059936419832597</v>
      </c>
      <c r="K581" s="36">
        <v>14</v>
      </c>
    </row>
    <row r="582" spans="1:11" x14ac:dyDescent="0.25">
      <c r="A582" s="13" t="s">
        <v>7</v>
      </c>
      <c r="B582" s="29">
        <v>45146</v>
      </c>
      <c r="C582" s="20">
        <v>0.139686</v>
      </c>
      <c r="D582" s="30">
        <f t="shared" ca="1" si="52"/>
        <v>125.96264433425505</v>
      </c>
      <c r="E582" s="31">
        <f>+E581*(1+C581*F582/365)</f>
        <v>125.96264433425505</v>
      </c>
      <c r="F582" s="32">
        <f t="shared" si="47"/>
        <v>1</v>
      </c>
      <c r="G582" s="20">
        <f t="shared" ca="1" si="48"/>
        <v>0.13512845335770479</v>
      </c>
      <c r="H582" s="20">
        <f t="shared" ca="1" si="50"/>
        <v>0.13625069504195608</v>
      </c>
      <c r="I582" s="20">
        <f t="shared" ca="1" si="49"/>
        <v>0.13912791907073968</v>
      </c>
      <c r="J582" s="20">
        <f t="shared" ca="1" si="51"/>
        <v>0.14056967179072874</v>
      </c>
      <c r="K582" s="36">
        <v>14</v>
      </c>
    </row>
    <row r="583" spans="1:11" x14ac:dyDescent="0.25">
      <c r="A583" s="13" t="s">
        <v>7</v>
      </c>
      <c r="B583" s="29">
        <v>45147</v>
      </c>
      <c r="C583" s="20">
        <v>0.13863200000000001</v>
      </c>
      <c r="D583" s="30">
        <f t="shared" ca="1" si="52"/>
        <v>126.01085041079332</v>
      </c>
      <c r="E583" s="31">
        <f>+E582*(1+C582*F583/365)</f>
        <v>126.01085041079332</v>
      </c>
      <c r="F583" s="32">
        <f t="shared" ref="F583:F646" si="53">IF(A582="Working day",1,(IF(A581="Working day",2,(IF(A580="Working day",3,IF(A579="Working day",4,IF(A578="Working day",5,6)))))))</f>
        <v>1</v>
      </c>
      <c r="G583" s="20">
        <f t="shared" ca="1" si="48"/>
        <v>0.13579936860960912</v>
      </c>
      <c r="H583" s="20">
        <f t="shared" ca="1" si="50"/>
        <v>0.1364119482362357</v>
      </c>
      <c r="I583" s="20">
        <f t="shared" ca="1" si="49"/>
        <v>0.13923247293686447</v>
      </c>
      <c r="J583" s="20">
        <f t="shared" ca="1" si="51"/>
        <v>0.14056780713306521</v>
      </c>
      <c r="K583" s="36">
        <v>14</v>
      </c>
    </row>
    <row r="584" spans="1:11" x14ac:dyDescent="0.25">
      <c r="A584" s="13" t="s">
        <v>7</v>
      </c>
      <c r="B584" s="29">
        <v>45148</v>
      </c>
      <c r="C584" s="20">
        <v>0.13608400000000001</v>
      </c>
      <c r="D584" s="30">
        <f t="shared" ca="1" si="52"/>
        <v>126.05871105795538</v>
      </c>
      <c r="E584" s="31">
        <f>+E583*(1+C583*F584/365)</f>
        <v>126.05871105795538</v>
      </c>
      <c r="F584" s="32">
        <f t="shared" si="53"/>
        <v>1</v>
      </c>
      <c r="G584" s="20">
        <f t="shared" ca="1" si="48"/>
        <v>0.13631938471448296</v>
      </c>
      <c r="H584" s="20">
        <f t="shared" ca="1" si="50"/>
        <v>0.13653432703182908</v>
      </c>
      <c r="I584" s="20">
        <f t="shared" ca="1" si="49"/>
        <v>0.1392889956747603</v>
      </c>
      <c r="J584" s="20">
        <f t="shared" ca="1" si="51"/>
        <v>0.1405596834085753</v>
      </c>
      <c r="K584" s="36">
        <v>14</v>
      </c>
    </row>
    <row r="585" spans="1:11" x14ac:dyDescent="0.25">
      <c r="A585" s="13" t="s">
        <v>7</v>
      </c>
      <c r="B585" s="29">
        <v>45149</v>
      </c>
      <c r="C585" s="20">
        <v>0.13534599999999999</v>
      </c>
      <c r="D585" s="30">
        <f t="shared" ca="1" si="52"/>
        <v>126.10570988983376</v>
      </c>
      <c r="E585" s="31">
        <f>+E584*(1+C584*F585/365)</f>
        <v>126.10570988983376</v>
      </c>
      <c r="F585" s="32">
        <f t="shared" si="53"/>
        <v>1</v>
      </c>
      <c r="G585" s="20">
        <f t="shared" ref="G585:G648" ca="1" si="54">(D585/OFFSET(D585,-7,0)-1)*365/7</f>
        <v>0.13647458930280568</v>
      </c>
      <c r="H585" s="20">
        <f t="shared" ca="1" si="50"/>
        <v>0.13657085234404925</v>
      </c>
      <c r="I585" s="20">
        <f t="shared" ca="1" si="49"/>
        <v>0.13931022642215732</v>
      </c>
      <c r="J585" s="20">
        <f t="shared" ca="1" si="51"/>
        <v>0.14053674749735978</v>
      </c>
      <c r="K585" s="36">
        <v>14</v>
      </c>
    </row>
    <row r="586" spans="1:11" x14ac:dyDescent="0.25">
      <c r="A586" s="23" t="s">
        <v>6</v>
      </c>
      <c r="B586" s="24">
        <v>45150</v>
      </c>
      <c r="C586" s="28">
        <v>0.13534599999999999</v>
      </c>
      <c r="D586" s="25">
        <f t="shared" ca="1" si="52"/>
        <v>126.15247126904129</v>
      </c>
      <c r="E586" s="26">
        <f>+E585*(1+C585*F586/365)</f>
        <v>126.15247126904129</v>
      </c>
      <c r="F586" s="27">
        <f t="shared" si="53"/>
        <v>1</v>
      </c>
      <c r="G586" s="28">
        <f t="shared" ca="1" si="54"/>
        <v>0.13652412892179697</v>
      </c>
      <c r="H586" s="28">
        <f t="shared" ca="1" si="50"/>
        <v>0.13658251082702547</v>
      </c>
      <c r="I586" s="28">
        <f t="shared" ca="1" si="49"/>
        <v>0.13932354568123551</v>
      </c>
      <c r="J586" s="28">
        <f t="shared" ca="1" si="51"/>
        <v>0.14050974786389706</v>
      </c>
      <c r="K586" s="36">
        <v>14</v>
      </c>
    </row>
    <row r="587" spans="1:11" x14ac:dyDescent="0.25">
      <c r="A587" s="23" t="s">
        <v>6</v>
      </c>
      <c r="B587" s="24">
        <v>45151</v>
      </c>
      <c r="C587" s="28">
        <v>0.13534599999999999</v>
      </c>
      <c r="D587" s="25">
        <f t="shared" ca="1" si="52"/>
        <v>126.19923264824882</v>
      </c>
      <c r="E587" s="26">
        <f>+E585*(1+C586*F587/365)</f>
        <v>126.19923264824882</v>
      </c>
      <c r="F587" s="27">
        <f t="shared" si="53"/>
        <v>2</v>
      </c>
      <c r="G587" s="28">
        <f t="shared" ca="1" si="54"/>
        <v>0.13657363192212194</v>
      </c>
      <c r="H587" s="28">
        <f t="shared" ca="1" si="50"/>
        <v>0.13650723086310126</v>
      </c>
      <c r="I587" s="28">
        <f t="shared" ca="1" si="49"/>
        <v>0.13933685515426703</v>
      </c>
      <c r="J587" s="28">
        <f t="shared" ca="1" si="51"/>
        <v>0.14048181339672117</v>
      </c>
      <c r="K587" s="36">
        <v>14</v>
      </c>
    </row>
    <row r="588" spans="1:11" x14ac:dyDescent="0.25">
      <c r="A588" s="13" t="s">
        <v>7</v>
      </c>
      <c r="B588" s="29">
        <v>45152</v>
      </c>
      <c r="C588" s="20">
        <v>0.13757</v>
      </c>
      <c r="D588" s="30">
        <f t="shared" ca="1" si="52"/>
        <v>126.24599402745635</v>
      </c>
      <c r="E588" s="31">
        <f>+E585*(1+C587*F588/365)</f>
        <v>126.24599402745635</v>
      </c>
      <c r="F588" s="32">
        <f t="shared" si="53"/>
        <v>3</v>
      </c>
      <c r="G588" s="20">
        <f t="shared" ca="1" si="54"/>
        <v>0.13662309834437311</v>
      </c>
      <c r="H588" s="20">
        <f t="shared" ca="1" si="50"/>
        <v>0.13636735502206065</v>
      </c>
      <c r="I588" s="20">
        <f t="shared" ca="1" si="49"/>
        <v>0.13933967789144158</v>
      </c>
      <c r="J588" s="20">
        <f t="shared" ca="1" si="51"/>
        <v>0.14045358159762766</v>
      </c>
      <c r="K588" s="36">
        <v>14</v>
      </c>
    </row>
    <row r="589" spans="1:11" x14ac:dyDescent="0.25">
      <c r="A589" s="13" t="s">
        <v>7</v>
      </c>
      <c r="B589" s="29">
        <v>45153</v>
      </c>
      <c r="C589" s="20">
        <v>0.135604</v>
      </c>
      <c r="D589" s="30">
        <f t="shared" ca="1" si="52"/>
        <v>126.29357666142447</v>
      </c>
      <c r="E589" s="31">
        <f>+E588*(1+C588*F589/365)</f>
        <v>126.29357666142447</v>
      </c>
      <c r="F589" s="32">
        <f t="shared" si="53"/>
        <v>1</v>
      </c>
      <c r="G589" s="20">
        <f t="shared" ca="1" si="54"/>
        <v>0.13699106707984371</v>
      </c>
      <c r="H589" s="20">
        <f t="shared" ca="1" si="50"/>
        <v>0.13630758902772186</v>
      </c>
      <c r="I589" s="20">
        <f t="shared" ca="1" si="49"/>
        <v>0.13936920363055241</v>
      </c>
      <c r="J589" s="20">
        <f t="shared" ca="1" si="51"/>
        <v>0.1404391520577162</v>
      </c>
      <c r="K589" s="36">
        <v>14</v>
      </c>
    </row>
    <row r="590" spans="1:11" x14ac:dyDescent="0.25">
      <c r="A590" s="13" t="s">
        <v>7</v>
      </c>
      <c r="B590" s="29">
        <v>45154</v>
      </c>
      <c r="C590" s="20">
        <v>0.13622699999999999</v>
      </c>
      <c r="D590" s="30">
        <f t="shared" ca="1" si="52"/>
        <v>126.34049697421787</v>
      </c>
      <c r="E590" s="31">
        <f>+E589*(1+C589*F590/365)</f>
        <v>126.34049697421787</v>
      </c>
      <c r="F590" s="32">
        <f t="shared" si="53"/>
        <v>1</v>
      </c>
      <c r="G590" s="20">
        <f t="shared" ca="1" si="54"/>
        <v>0.1364066158449446</v>
      </c>
      <c r="H590" s="20">
        <f t="shared" ca="1" si="50"/>
        <v>0.13618337277878959</v>
      </c>
      <c r="I590" s="20">
        <f t="shared" ca="1" si="49"/>
        <v>0.13937614280251526</v>
      </c>
      <c r="J590" s="20">
        <f t="shared" ca="1" si="51"/>
        <v>0.1404130484217857</v>
      </c>
      <c r="K590" s="36">
        <v>14</v>
      </c>
    </row>
    <row r="591" spans="1:11" x14ac:dyDescent="0.25">
      <c r="A591" s="13" t="s">
        <v>7</v>
      </c>
      <c r="B591" s="29">
        <v>45155</v>
      </c>
      <c r="C591" s="20">
        <v>0.13861399999999999</v>
      </c>
      <c r="D591" s="30">
        <f t="shared" ca="1" si="52"/>
        <v>126.38765036293378</v>
      </c>
      <c r="E591" s="31">
        <f>+E590*(1+C590*F591/365)</f>
        <v>126.38765036293378</v>
      </c>
      <c r="F591" s="32">
        <f t="shared" si="53"/>
        <v>1</v>
      </c>
      <c r="G591" s="20">
        <f t="shared" ca="1" si="54"/>
        <v>0.13606227641240548</v>
      </c>
      <c r="H591" s="20">
        <f t="shared" ca="1" si="50"/>
        <v>0.13622471528772101</v>
      </c>
      <c r="I591" s="20">
        <f t="shared" ca="1" si="49"/>
        <v>0.13939023945496948</v>
      </c>
      <c r="J591" s="20">
        <f t="shared" ca="1" si="51"/>
        <v>0.14039064445621821</v>
      </c>
      <c r="K591" s="36">
        <v>14</v>
      </c>
    </row>
    <row r="592" spans="1:11" x14ac:dyDescent="0.25">
      <c r="A592" s="13" t="s">
        <v>7</v>
      </c>
      <c r="B592" s="29">
        <v>45156</v>
      </c>
      <c r="C592" s="20">
        <v>0.13530700000000001</v>
      </c>
      <c r="D592" s="30">
        <f t="shared" ca="1" si="52"/>
        <v>126.43564789106367</v>
      </c>
      <c r="E592" s="31">
        <f>+E591*(1+C591*F592/365)</f>
        <v>126.43564789106367</v>
      </c>
      <c r="F592" s="32">
        <f t="shared" si="53"/>
        <v>1</v>
      </c>
      <c r="G592" s="20">
        <f t="shared" ca="1" si="54"/>
        <v>0.13642451304671471</v>
      </c>
      <c r="H592" s="20">
        <f t="shared" ca="1" si="50"/>
        <v>0.13634648572729724</v>
      </c>
      <c r="I592" s="20">
        <f t="shared" ca="1" si="49"/>
        <v>0.1394317598079981</v>
      </c>
      <c r="J592" s="20">
        <f t="shared" ca="1" si="51"/>
        <v>0.14038273324730194</v>
      </c>
      <c r="K592" s="36">
        <v>14</v>
      </c>
    </row>
    <row r="593" spans="1:11" x14ac:dyDescent="0.25">
      <c r="A593" s="23" t="s">
        <v>6</v>
      </c>
      <c r="B593" s="24">
        <v>45157</v>
      </c>
      <c r="C593" s="28">
        <v>0.13530700000000001</v>
      </c>
      <c r="D593" s="25">
        <f t="shared" ca="1" si="52"/>
        <v>126.48251810533544</v>
      </c>
      <c r="E593" s="26">
        <f>+E592*(1+C592*F593/365)</f>
        <v>126.48251810533544</v>
      </c>
      <c r="F593" s="27">
        <f t="shared" si="53"/>
        <v>1</v>
      </c>
      <c r="G593" s="28">
        <f t="shared" ca="1" si="54"/>
        <v>0.13641892911186307</v>
      </c>
      <c r="H593" s="28">
        <f t="shared" ca="1" si="50"/>
        <v>0.13635682991516979</v>
      </c>
      <c r="I593" s="28">
        <f t="shared" ca="1" si="49"/>
        <v>0.13943586033493954</v>
      </c>
      <c r="J593" s="28">
        <f t="shared" ca="1" si="51"/>
        <v>0.14035550395390015</v>
      </c>
      <c r="K593" s="36">
        <v>14</v>
      </c>
    </row>
    <row r="594" spans="1:11" x14ac:dyDescent="0.25">
      <c r="A594" s="23" t="s">
        <v>6</v>
      </c>
      <c r="B594" s="24">
        <v>45158</v>
      </c>
      <c r="C594" s="28">
        <v>0.13530700000000001</v>
      </c>
      <c r="D594" s="25">
        <f t="shared" ca="1" si="52"/>
        <v>126.52938831960721</v>
      </c>
      <c r="E594" s="26">
        <f>+E592*(1+C593*F594/365)</f>
        <v>126.52938831960721</v>
      </c>
      <c r="F594" s="27">
        <f t="shared" si="53"/>
        <v>2</v>
      </c>
      <c r="G594" s="28">
        <f t="shared" ca="1" si="54"/>
        <v>0.13641334931510715</v>
      </c>
      <c r="H594" s="28">
        <f t="shared" ca="1" si="50"/>
        <v>0.13636548466272147</v>
      </c>
      <c r="I594" s="28">
        <f t="shared" ca="1" si="49"/>
        <v>0.1394399578319766</v>
      </c>
      <c r="J594" s="28">
        <f t="shared" ca="1" si="51"/>
        <v>0.14032734007076644</v>
      </c>
      <c r="K594" s="36">
        <v>14</v>
      </c>
    </row>
    <row r="595" spans="1:11" x14ac:dyDescent="0.25">
      <c r="A595" s="13" t="s">
        <v>7</v>
      </c>
      <c r="B595" s="29">
        <v>45159</v>
      </c>
      <c r="C595" s="20">
        <v>0.13500000000000001</v>
      </c>
      <c r="D595" s="30">
        <f t="shared" ca="1" si="52"/>
        <v>126.57625853387898</v>
      </c>
      <c r="E595" s="31">
        <f>+E592*(1+C594*F595/365)</f>
        <v>126.57625853387898</v>
      </c>
      <c r="F595" s="32">
        <f t="shared" si="53"/>
        <v>3</v>
      </c>
      <c r="G595" s="20">
        <f t="shared" ca="1" si="54"/>
        <v>0.13640777365186207</v>
      </c>
      <c r="H595" s="20">
        <f t="shared" ca="1" si="50"/>
        <v>0.13637245121780292</v>
      </c>
      <c r="I595" s="20">
        <f t="shared" ca="1" si="49"/>
        <v>0.13944233323561267</v>
      </c>
      <c r="J595" s="20">
        <f t="shared" ca="1" si="51"/>
        <v>0.14029887905431229</v>
      </c>
      <c r="K595" s="36">
        <v>14</v>
      </c>
    </row>
    <row r="596" spans="1:11" x14ac:dyDescent="0.25">
      <c r="A596" s="13" t="s">
        <v>7</v>
      </c>
      <c r="B596" s="29">
        <v>45160</v>
      </c>
      <c r="C596" s="20">
        <v>0.136161</v>
      </c>
      <c r="D596" s="30">
        <f t="shared" ca="1" si="52"/>
        <v>126.62307441032301</v>
      </c>
      <c r="E596" s="31">
        <f>+E595*(1+C595*F596/365)</f>
        <v>126.62307441032301</v>
      </c>
      <c r="F596" s="32">
        <f t="shared" si="53"/>
        <v>1</v>
      </c>
      <c r="G596" s="20">
        <f t="shared" ca="1" si="54"/>
        <v>0.1360398090218719</v>
      </c>
      <c r="H596" s="20">
        <f t="shared" ca="1" si="50"/>
        <v>0.13637413301286064</v>
      </c>
      <c r="I596" s="20">
        <f t="shared" ca="1" si="49"/>
        <v>0.13944233323561267</v>
      </c>
      <c r="J596" s="20">
        <f t="shared" ca="1" si="51"/>
        <v>0.14026919076137218</v>
      </c>
      <c r="K596" s="36">
        <v>14</v>
      </c>
    </row>
    <row r="597" spans="1:11" x14ac:dyDescent="0.25">
      <c r="A597" s="13" t="s">
        <v>7</v>
      </c>
      <c r="B597" s="29">
        <v>45161</v>
      </c>
      <c r="C597" s="20">
        <v>0.13500000000000001</v>
      </c>
      <c r="D597" s="30">
        <f t="shared" ca="1" si="52"/>
        <v>126.67031036767858</v>
      </c>
      <c r="E597" s="31">
        <f>+E596*(1+C596*F597/365)</f>
        <v>126.67031036767858</v>
      </c>
      <c r="F597" s="32">
        <f t="shared" si="53"/>
        <v>1</v>
      </c>
      <c r="G597" s="20">
        <f t="shared" ca="1" si="54"/>
        <v>0.13611955842260351</v>
      </c>
      <c r="H597" s="20">
        <f t="shared" ca="1" si="50"/>
        <v>0.13641661468449007</v>
      </c>
      <c r="I597" s="20">
        <f t="shared" ca="1" si="49"/>
        <v>0.13945567184338548</v>
      </c>
      <c r="J597" s="20">
        <f t="shared" ca="1" si="51"/>
        <v>0.14024639640218856</v>
      </c>
      <c r="K597" s="36">
        <v>14</v>
      </c>
    </row>
    <row r="598" spans="1:11" x14ac:dyDescent="0.25">
      <c r="A598" s="13" t="s">
        <v>7</v>
      </c>
      <c r="B598" s="29">
        <v>45162</v>
      </c>
      <c r="C598" s="20">
        <v>0.13500000000000001</v>
      </c>
      <c r="D598" s="30">
        <f t="shared" ca="1" si="52"/>
        <v>126.7171610304173</v>
      </c>
      <c r="E598" s="31">
        <f>+E597*(1+C597*F598/365)</f>
        <v>126.7171610304173</v>
      </c>
      <c r="F598" s="32">
        <f t="shared" si="53"/>
        <v>1</v>
      </c>
      <c r="G598" s="20">
        <f t="shared" ca="1" si="54"/>
        <v>0.13594388069010238</v>
      </c>
      <c r="H598" s="20">
        <f t="shared" ca="1" si="50"/>
        <v>0.13641661468449007</v>
      </c>
      <c r="I598" s="20">
        <f t="shared" ca="1" si="49"/>
        <v>0.13943645094802667</v>
      </c>
      <c r="J598" s="20">
        <f t="shared" ca="1" si="51"/>
        <v>0.14021670882791282</v>
      </c>
      <c r="K598" s="36">
        <v>14</v>
      </c>
    </row>
    <row r="599" spans="1:11" x14ac:dyDescent="0.25">
      <c r="A599" s="13" t="s">
        <v>7</v>
      </c>
      <c r="B599" s="29">
        <v>45163</v>
      </c>
      <c r="C599" s="20">
        <v>0.13539000000000001</v>
      </c>
      <c r="D599" s="30">
        <f t="shared" ca="1" si="52"/>
        <v>126.76402902148334</v>
      </c>
      <c r="E599" s="31">
        <f>+E598*(1+C598*F599/365)</f>
        <v>126.76402902148334</v>
      </c>
      <c r="F599" s="32">
        <f t="shared" si="53"/>
        <v>1</v>
      </c>
      <c r="G599" s="20">
        <f t="shared" ca="1" si="54"/>
        <v>0.13542644544863963</v>
      </c>
      <c r="H599" s="20">
        <f t="shared" ca="1" si="50"/>
        <v>0.13641661468449007</v>
      </c>
      <c r="I599" s="20">
        <f t="shared" ca="1" si="49"/>
        <v>0.13944826154937615</v>
      </c>
      <c r="J599" s="20">
        <f t="shared" ca="1" si="51"/>
        <v>0.1401873403656467</v>
      </c>
      <c r="K599" s="36">
        <v>14</v>
      </c>
    </row>
    <row r="600" spans="1:11" x14ac:dyDescent="0.25">
      <c r="A600" s="23" t="s">
        <v>6</v>
      </c>
      <c r="B600" s="24">
        <v>45164</v>
      </c>
      <c r="C600" s="28">
        <v>0.13539000000000001</v>
      </c>
      <c r="D600" s="25">
        <f t="shared" ca="1" si="52"/>
        <v>126.81104979378259</v>
      </c>
      <c r="E600" s="26">
        <f>+E599*(1+C599*F600/365)</f>
        <v>126.81104979378259</v>
      </c>
      <c r="F600" s="27">
        <f t="shared" si="53"/>
        <v>1</v>
      </c>
      <c r="G600" s="28">
        <f t="shared" ca="1" si="54"/>
        <v>0.13543832898183727</v>
      </c>
      <c r="H600" s="28">
        <f t="shared" ca="1" si="50"/>
        <v>0.13642975558437784</v>
      </c>
      <c r="I600" s="28">
        <f t="shared" ca="1" si="49"/>
        <v>0.13946511762410777</v>
      </c>
      <c r="J600" s="28">
        <f t="shared" ca="1" si="51"/>
        <v>0.14016060632658064</v>
      </c>
      <c r="K600" s="36">
        <v>14</v>
      </c>
    </row>
    <row r="601" spans="1:11" x14ac:dyDescent="0.25">
      <c r="A601" s="23" t="s">
        <v>6</v>
      </c>
      <c r="B601" s="24">
        <v>45165</v>
      </c>
      <c r="C601" s="28">
        <v>0.13539000000000001</v>
      </c>
      <c r="D601" s="25">
        <f t="shared" ca="1" si="52"/>
        <v>126.85807056608179</v>
      </c>
      <c r="E601" s="26">
        <f>+E599*(1+C600*F601/365)</f>
        <v>126.85807056608179</v>
      </c>
      <c r="F601" s="27">
        <f t="shared" si="53"/>
        <v>2</v>
      </c>
      <c r="G601" s="28">
        <f t="shared" ca="1" si="54"/>
        <v>0.13545020371098901</v>
      </c>
      <c r="H601" s="28">
        <f t="shared" ca="1" si="50"/>
        <v>0.13644120496632056</v>
      </c>
      <c r="I601" s="28">
        <f t="shared" ca="1" si="49"/>
        <v>0.13948196133851795</v>
      </c>
      <c r="J601" s="28">
        <f t="shared" ca="1" si="51"/>
        <v>0.14013293740411281</v>
      </c>
      <c r="K601" s="36">
        <v>14</v>
      </c>
    </row>
    <row r="602" spans="1:11" x14ac:dyDescent="0.25">
      <c r="A602" s="13" t="s">
        <v>7</v>
      </c>
      <c r="B602" s="29">
        <v>45166</v>
      </c>
      <c r="C602" s="20">
        <v>0.137713</v>
      </c>
      <c r="D602" s="30">
        <f t="shared" ca="1" si="52"/>
        <v>126.90509133838104</v>
      </c>
      <c r="E602" s="31">
        <f>+E599*(1+C601*F602/365)</f>
        <v>126.90509133838104</v>
      </c>
      <c r="F602" s="32">
        <f t="shared" si="53"/>
        <v>3</v>
      </c>
      <c r="G602" s="20">
        <f t="shared" ca="1" si="54"/>
        <v>0.13546206964591301</v>
      </c>
      <c r="H602" s="20">
        <f t="shared" ca="1" si="50"/>
        <v>0.13645096407933066</v>
      </c>
      <c r="I602" s="20">
        <f t="shared" ca="1" si="49"/>
        <v>0.13948528894042414</v>
      </c>
      <c r="J602" s="20">
        <f t="shared" ca="1" si="51"/>
        <v>0.14010497099742658</v>
      </c>
      <c r="K602" s="36">
        <v>14</v>
      </c>
    </row>
    <row r="603" spans="1:11" x14ac:dyDescent="0.25">
      <c r="A603" s="13" t="s">
        <v>7</v>
      </c>
      <c r="B603" s="29">
        <v>45167</v>
      </c>
      <c r="C603" s="20">
        <v>0.13858599999999999</v>
      </c>
      <c r="D603" s="30">
        <f t="shared" ca="1" si="52"/>
        <v>126.95297210781523</v>
      </c>
      <c r="E603" s="31">
        <f>+E602*(1+C602*F603/365)</f>
        <v>126.95297210781523</v>
      </c>
      <c r="F603" s="32">
        <f t="shared" si="53"/>
        <v>1</v>
      </c>
      <c r="G603" s="20">
        <f t="shared" ca="1" si="54"/>
        <v>0.1358505042797466</v>
      </c>
      <c r="H603" s="20">
        <f t="shared" ca="1" si="50"/>
        <v>0.13654405964358066</v>
      </c>
      <c r="I603" s="20">
        <f t="shared" ca="1" si="49"/>
        <v>0.13952528227958522</v>
      </c>
      <c r="J603" s="20">
        <f t="shared" ca="1" si="51"/>
        <v>0.14009139278674987</v>
      </c>
      <c r="K603" s="36">
        <v>14</v>
      </c>
    </row>
    <row r="604" spans="1:11" x14ac:dyDescent="0.25">
      <c r="A604" s="13" t="s">
        <v>7</v>
      </c>
      <c r="B604" s="29">
        <v>45168</v>
      </c>
      <c r="C604" s="20">
        <v>0.13905899999999999</v>
      </c>
      <c r="D604" s="30">
        <f t="shared" ca="1" si="52"/>
        <v>127.00117458615095</v>
      </c>
      <c r="E604" s="31">
        <f>+E603*(1+C603*F604/365)</f>
        <v>127.00117458615095</v>
      </c>
      <c r="F604" s="32">
        <f t="shared" si="53"/>
        <v>1</v>
      </c>
      <c r="G604" s="20">
        <f t="shared" ca="1" si="54"/>
        <v>0.13619770589817448</v>
      </c>
      <c r="H604" s="20">
        <f t="shared" ca="1" si="50"/>
        <v>0.13666825221229448</v>
      </c>
      <c r="I604" s="20">
        <f t="shared" ref="I604:I667" ca="1" si="55">($D604/OFFSET($D604,-90,0)-1)*365/90</f>
        <v>0.13939898739578258</v>
      </c>
      <c r="J604" s="20">
        <f t="shared" ca="1" si="51"/>
        <v>0.14008299774099442</v>
      </c>
      <c r="K604" s="36">
        <v>14</v>
      </c>
    </row>
    <row r="605" spans="1:11" x14ac:dyDescent="0.25">
      <c r="A605" s="13" t="s">
        <v>7</v>
      </c>
      <c r="B605" s="29">
        <v>45169</v>
      </c>
      <c r="C605" s="20">
        <v>0.14000000000000001</v>
      </c>
      <c r="D605" s="30">
        <f t="shared" ca="1" si="52"/>
        <v>127.04955994597772</v>
      </c>
      <c r="E605" s="31">
        <f>+E604*(1+C604*F605/365)</f>
        <v>127.04955994597772</v>
      </c>
      <c r="F605" s="32">
        <f t="shared" si="53"/>
        <v>1</v>
      </c>
      <c r="G605" s="20">
        <f t="shared" ca="1" si="54"/>
        <v>0.13677886268574627</v>
      </c>
      <c r="H605" s="20">
        <f t="shared" ca="1" si="50"/>
        <v>0.13678665733471032</v>
      </c>
      <c r="I605" s="20">
        <f t="shared" ca="1" si="55"/>
        <v>0.13948991053588553</v>
      </c>
      <c r="J605" s="20">
        <f t="shared" ca="1" si="51"/>
        <v>0.14007741096060908</v>
      </c>
      <c r="K605" s="36">
        <v>14</v>
      </c>
    </row>
    <row r="606" spans="1:11" x14ac:dyDescent="0.25">
      <c r="A606" s="23" t="s">
        <v>6</v>
      </c>
      <c r="B606" s="24">
        <v>45170</v>
      </c>
      <c r="C606" s="28">
        <v>0.14000000000000001</v>
      </c>
      <c r="D606" s="25">
        <f t="shared" ca="1" si="52"/>
        <v>127.09829128403921</v>
      </c>
      <c r="E606" s="26">
        <f>+E605*(1+C605*F606/365)</f>
        <v>127.09829128403921</v>
      </c>
      <c r="F606" s="27">
        <f t="shared" si="53"/>
        <v>1</v>
      </c>
      <c r="G606" s="28">
        <f t="shared" ca="1" si="54"/>
        <v>0.13749475730015806</v>
      </c>
      <c r="H606" s="28">
        <f t="shared" ca="1" si="50"/>
        <v>0.13695513547737448</v>
      </c>
      <c r="I606" s="28">
        <f t="shared" ca="1" si="55"/>
        <v>0.1395775724347923</v>
      </c>
      <c r="J606" s="28">
        <f t="shared" ca="1" si="51"/>
        <v>0.14007772964998216</v>
      </c>
      <c r="K606" s="36">
        <v>14</v>
      </c>
    </row>
    <row r="607" spans="1:11" x14ac:dyDescent="0.25">
      <c r="A607" s="23" t="s">
        <v>6</v>
      </c>
      <c r="B607" s="24">
        <v>45171</v>
      </c>
      <c r="C607" s="28">
        <v>0.14000000000000001</v>
      </c>
      <c r="D607" s="25">
        <f t="shared" ca="1" si="52"/>
        <v>127.14702262210065</v>
      </c>
      <c r="E607" s="26">
        <f>+E605*(1+C606*F607/365)</f>
        <v>127.14702262210065</v>
      </c>
      <c r="F607" s="27">
        <f t="shared" si="53"/>
        <v>2</v>
      </c>
      <c r="G607" s="28">
        <f t="shared" ca="1" si="54"/>
        <v>0.13814713480692836</v>
      </c>
      <c r="H607" s="28">
        <f t="shared" ca="1" si="50"/>
        <v>0.13712180718699088</v>
      </c>
      <c r="I607" s="28">
        <f t="shared" ca="1" si="55"/>
        <v>0.13966517079728533</v>
      </c>
      <c r="J607" s="28">
        <f t="shared" ca="1" si="51"/>
        <v>0.140078048095161</v>
      </c>
      <c r="K607" s="36">
        <v>14</v>
      </c>
    </row>
    <row r="608" spans="1:11" x14ac:dyDescent="0.25">
      <c r="A608" s="23" t="s">
        <v>6</v>
      </c>
      <c r="B608" s="24">
        <v>45172</v>
      </c>
      <c r="C608" s="28">
        <v>0.14000000000000001</v>
      </c>
      <c r="D608" s="25">
        <f t="shared" ca="1" si="52"/>
        <v>127.19575396016214</v>
      </c>
      <c r="E608" s="26">
        <f>+E606*(1+C607*F608/365)</f>
        <v>127.24454137264001</v>
      </c>
      <c r="F608" s="27">
        <f t="shared" si="53"/>
        <v>3</v>
      </c>
      <c r="G608" s="28">
        <f t="shared" ca="1" si="54"/>
        <v>0.13879902869778218</v>
      </c>
      <c r="H608" s="28">
        <f t="shared" ref="H608:H671" ca="1" si="56">($D608/OFFSET($D608,-30,0)-1)*365/30</f>
        <v>0.13728667377631196</v>
      </c>
      <c r="I608" s="28">
        <f t="shared" ca="1" si="55"/>
        <v>0.13975270569241785</v>
      </c>
      <c r="J608" s="28">
        <f t="shared" ca="1" si="51"/>
        <v>0.14007741096060908</v>
      </c>
      <c r="K608" s="36">
        <v>14</v>
      </c>
    </row>
    <row r="609" spans="1:11" x14ac:dyDescent="0.25">
      <c r="A609" s="13" t="s">
        <v>7</v>
      </c>
      <c r="B609" s="29">
        <v>45173</v>
      </c>
      <c r="C609" s="20">
        <v>0.14000000000000001</v>
      </c>
      <c r="D609" s="30">
        <f t="shared" ca="1" si="52"/>
        <v>127.24448529822361</v>
      </c>
      <c r="E609" s="31">
        <f>+E605*(1+C608*F609/365)</f>
        <v>127.24448529822361</v>
      </c>
      <c r="F609" s="32">
        <f t="shared" si="53"/>
        <v>4</v>
      </c>
      <c r="G609" s="20">
        <f t="shared" ca="1" si="54"/>
        <v>0.1394504395102068</v>
      </c>
      <c r="H609" s="20">
        <f t="shared" ca="1" si="56"/>
        <v>0.13744973655734738</v>
      </c>
      <c r="I609" s="20">
        <f t="shared" ca="1" si="55"/>
        <v>0.13983530703084499</v>
      </c>
      <c r="J609" s="20">
        <f t="shared" ca="1" si="51"/>
        <v>0.14007645562521123</v>
      </c>
      <c r="K609" s="36">
        <v>14</v>
      </c>
    </row>
    <row r="610" spans="1:11" x14ac:dyDescent="0.25">
      <c r="A610" s="13" t="s">
        <v>7</v>
      </c>
      <c r="B610" s="29">
        <v>45174</v>
      </c>
      <c r="C610" s="20">
        <v>0.14000000000000001</v>
      </c>
      <c r="D610" s="30">
        <f t="shared" ca="1" si="52"/>
        <v>127.29329140217362</v>
      </c>
      <c r="E610" s="31">
        <f>+E609*(1+C609*F610/365)</f>
        <v>127.29329140217362</v>
      </c>
      <c r="F610" s="32">
        <f t="shared" si="53"/>
        <v>1</v>
      </c>
      <c r="G610" s="20">
        <f t="shared" ca="1" si="54"/>
        <v>0.13977790400698481</v>
      </c>
      <c r="H610" s="20">
        <f t="shared" ca="1" si="56"/>
        <v>0.13761990574527844</v>
      </c>
      <c r="I610" s="20">
        <f t="shared" ca="1" si="55"/>
        <v>0.1398934577879703</v>
      </c>
      <c r="J610" s="20">
        <f t="shared" ca="1" si="51"/>
        <v>0.14007677431444382</v>
      </c>
      <c r="K610" s="36">
        <v>14</v>
      </c>
    </row>
    <row r="611" spans="1:11" x14ac:dyDescent="0.25">
      <c r="A611" s="13" t="s">
        <v>7</v>
      </c>
      <c r="B611" s="29">
        <v>45175</v>
      </c>
      <c r="C611" s="20">
        <v>0.13925599999999999</v>
      </c>
      <c r="D611" s="30">
        <f t="shared" ca="1" si="52"/>
        <v>127.34211622627309</v>
      </c>
      <c r="E611" s="31">
        <f>+E610*(1+C610*F611/365)</f>
        <v>127.34211622627309</v>
      </c>
      <c r="F611" s="32">
        <f t="shared" si="53"/>
        <v>1</v>
      </c>
      <c r="G611" s="20">
        <f t="shared" ca="1" si="54"/>
        <v>0.13998036862942589</v>
      </c>
      <c r="H611" s="20">
        <f t="shared" ca="1" si="56"/>
        <v>0.13779175803248564</v>
      </c>
      <c r="I611" s="20">
        <f t="shared" ca="1" si="55"/>
        <v>0.13995374654655129</v>
      </c>
      <c r="J611" s="20">
        <f t="shared" ca="1" si="51"/>
        <v>0.14007677431444382</v>
      </c>
      <c r="K611" s="36">
        <v>14</v>
      </c>
    </row>
    <row r="612" spans="1:11" x14ac:dyDescent="0.25">
      <c r="A612" s="13" t="s">
        <v>7</v>
      </c>
      <c r="B612" s="29">
        <v>45176</v>
      </c>
      <c r="C612" s="20">
        <v>0.14000000000000001</v>
      </c>
      <c r="D612" s="30">
        <f t="shared" ca="1" si="52"/>
        <v>127.39070020911474</v>
      </c>
      <c r="E612" s="31">
        <f>+E611*(1+C611*F612/365)</f>
        <v>127.39070020911474</v>
      </c>
      <c r="F612" s="32">
        <f t="shared" si="53"/>
        <v>1</v>
      </c>
      <c r="G612" s="20">
        <f t="shared" ca="1" si="54"/>
        <v>0.140008576290968</v>
      </c>
      <c r="H612" s="20">
        <f t="shared" ca="1" si="56"/>
        <v>0.13793517834293378</v>
      </c>
      <c r="I612" s="20">
        <f t="shared" ca="1" si="55"/>
        <v>0.14002090762009731</v>
      </c>
      <c r="J612" s="20">
        <f t="shared" ca="1" si="51"/>
        <v>0.14007235714900904</v>
      </c>
      <c r="K612" s="36">
        <v>14</v>
      </c>
    </row>
    <row r="613" spans="1:11" x14ac:dyDescent="0.25">
      <c r="A613" s="13" t="s">
        <v>7</v>
      </c>
      <c r="B613" s="29">
        <v>45177</v>
      </c>
      <c r="C613" s="20">
        <v>0.14000000000000001</v>
      </c>
      <c r="D613" s="30">
        <f t="shared" ca="1" si="52"/>
        <v>127.43956239549632</v>
      </c>
      <c r="E613" s="31">
        <f>+E612*(1+C612*F613/365)</f>
        <v>127.43956239549632</v>
      </c>
      <c r="F613" s="32">
        <f t="shared" si="53"/>
        <v>1</v>
      </c>
      <c r="G613" s="20">
        <f t="shared" ca="1" si="54"/>
        <v>0.140008576290968</v>
      </c>
      <c r="H613" s="20">
        <f t="shared" ca="1" si="56"/>
        <v>0.13794575962217517</v>
      </c>
      <c r="I613" s="20">
        <f t="shared" ca="1" si="55"/>
        <v>0.14009114913925738</v>
      </c>
      <c r="J613" s="20">
        <f t="shared" ca="1" si="51"/>
        <v>0.14007235714900856</v>
      </c>
      <c r="K613" s="36">
        <v>14</v>
      </c>
    </row>
    <row r="614" spans="1:11" x14ac:dyDescent="0.25">
      <c r="A614" s="23" t="s">
        <v>6</v>
      </c>
      <c r="B614" s="24">
        <v>45178</v>
      </c>
      <c r="C614" s="28">
        <v>0.14000000000000001</v>
      </c>
      <c r="D614" s="25">
        <f t="shared" ca="1" si="52"/>
        <v>127.48844332353845</v>
      </c>
      <c r="E614" s="26">
        <f>+E613*(1+C613*F614/365)</f>
        <v>127.48844332353845</v>
      </c>
      <c r="F614" s="27">
        <f t="shared" si="53"/>
        <v>1</v>
      </c>
      <c r="G614" s="28">
        <f t="shared" ca="1" si="54"/>
        <v>0.14001626222579863</v>
      </c>
      <c r="H614" s="28">
        <f t="shared" ca="1" si="56"/>
        <v>0.13799185912610296</v>
      </c>
      <c r="I614" s="28">
        <f t="shared" ca="1" si="55"/>
        <v>0.14016195596384712</v>
      </c>
      <c r="J614" s="28">
        <f t="shared" ca="1" si="51"/>
        <v>0.14007267583763919</v>
      </c>
      <c r="K614" s="36">
        <v>14</v>
      </c>
    </row>
    <row r="615" spans="1:11" x14ac:dyDescent="0.25">
      <c r="A615" s="23" t="s">
        <v>6</v>
      </c>
      <c r="B615" s="24">
        <v>45179</v>
      </c>
      <c r="C615" s="28">
        <v>0.14000000000000001</v>
      </c>
      <c r="D615" s="25">
        <f t="shared" ca="1" si="52"/>
        <v>127.53732425158053</v>
      </c>
      <c r="E615" s="26">
        <f>+E613*(1+C614*F615/365)</f>
        <v>127.53732425158053</v>
      </c>
      <c r="F615" s="27">
        <f t="shared" si="53"/>
        <v>2</v>
      </c>
      <c r="G615" s="28">
        <f t="shared" ca="1" si="54"/>
        <v>0.14002394227130868</v>
      </c>
      <c r="H615" s="28">
        <f t="shared" ca="1" si="56"/>
        <v>0.138122014854063</v>
      </c>
      <c r="I615" s="28">
        <f t="shared" ca="1" si="55"/>
        <v>0.14023271089971001</v>
      </c>
      <c r="J615" s="28">
        <f t="shared" ca="1" si="51"/>
        <v>0.14007235714900856</v>
      </c>
      <c r="K615" s="36">
        <v>14</v>
      </c>
    </row>
    <row r="616" spans="1:11" x14ac:dyDescent="0.25">
      <c r="A616" s="13" t="s">
        <v>7</v>
      </c>
      <c r="B616" s="29">
        <v>45180</v>
      </c>
      <c r="C616" s="20">
        <v>0.14000000000000001</v>
      </c>
      <c r="D616" s="30">
        <f t="shared" ca="1" si="52"/>
        <v>127.58620517962265</v>
      </c>
      <c r="E616" s="31">
        <f>+E613*(1+C615*F616/365)</f>
        <v>127.58620517962265</v>
      </c>
      <c r="F616" s="32">
        <f t="shared" si="53"/>
        <v>3</v>
      </c>
      <c r="G616" s="20">
        <f t="shared" ca="1" si="54"/>
        <v>0.14003161643432913</v>
      </c>
      <c r="H616" s="20">
        <f t="shared" ca="1" si="56"/>
        <v>0.13827523474778436</v>
      </c>
      <c r="I616" s="20">
        <f t="shared" ca="1" si="55"/>
        <v>0.14029812602980318</v>
      </c>
      <c r="J616" s="20">
        <f t="shared" ca="1" si="51"/>
        <v>0.1400717200161298</v>
      </c>
      <c r="K616" s="36">
        <v>14</v>
      </c>
    </row>
    <row r="617" spans="1:11" x14ac:dyDescent="0.25">
      <c r="A617" s="13" t="s">
        <v>7</v>
      </c>
      <c r="B617" s="29">
        <v>45181</v>
      </c>
      <c r="C617" s="20">
        <v>0.14000000000000001</v>
      </c>
      <c r="D617" s="30">
        <f t="shared" ca="1" si="52"/>
        <v>127.63514235421211</v>
      </c>
      <c r="E617" s="31">
        <f>+E616*(1+C616*F617/365)</f>
        <v>127.63514235421211</v>
      </c>
      <c r="F617" s="32">
        <f t="shared" si="53"/>
        <v>1</v>
      </c>
      <c r="G617" s="20">
        <f t="shared" ca="1" si="54"/>
        <v>0.14003161643432913</v>
      </c>
      <c r="H617" s="20">
        <f t="shared" ca="1" si="56"/>
        <v>0.13843376373437036</v>
      </c>
      <c r="I617" s="20">
        <f t="shared" ca="1" si="55"/>
        <v>0.14036363771113303</v>
      </c>
      <c r="J617" s="20">
        <f t="shared" ca="1" si="51"/>
        <v>0.1400717200161298</v>
      </c>
      <c r="K617" s="36">
        <v>14</v>
      </c>
    </row>
    <row r="618" spans="1:11" x14ac:dyDescent="0.25">
      <c r="A618" s="13" t="s">
        <v>7</v>
      </c>
      <c r="B618" s="29">
        <v>45182</v>
      </c>
      <c r="C618" s="20">
        <v>0.14000000000000001</v>
      </c>
      <c r="D618" s="30">
        <f t="shared" ca="1" si="52"/>
        <v>127.68409829922469</v>
      </c>
      <c r="E618" s="31">
        <f>+E617*(1+C617*F618/365)</f>
        <v>127.68409829922469</v>
      </c>
      <c r="F618" s="32">
        <f t="shared" si="53"/>
        <v>1</v>
      </c>
      <c r="G618" s="20">
        <f t="shared" ca="1" si="54"/>
        <v>0.14003161643432913</v>
      </c>
      <c r="H618" s="20">
        <f t="shared" ca="1" si="56"/>
        <v>0.1385939842392904</v>
      </c>
      <c r="I618" s="20">
        <f t="shared" ca="1" si="55"/>
        <v>0.14042740368977422</v>
      </c>
      <c r="J618" s="20">
        <f t="shared" ca="1" si="51"/>
        <v>0.1400717200161298</v>
      </c>
      <c r="K618" s="36">
        <v>14</v>
      </c>
    </row>
    <row r="619" spans="1:11" x14ac:dyDescent="0.25">
      <c r="A619" s="13" t="s">
        <v>7</v>
      </c>
      <c r="B619" s="29">
        <v>45183</v>
      </c>
      <c r="C619" s="20">
        <v>0.14000000000000001</v>
      </c>
      <c r="D619" s="30">
        <f t="shared" ca="1" si="52"/>
        <v>127.73307302186001</v>
      </c>
      <c r="E619" s="31">
        <f>+E618*(1+C618*F619/365)</f>
        <v>127.73307302186001</v>
      </c>
      <c r="F619" s="32">
        <f t="shared" si="53"/>
        <v>1</v>
      </c>
      <c r="G619" s="20">
        <f t="shared" ca="1" si="54"/>
        <v>0.1401381469390604</v>
      </c>
      <c r="H619" s="20">
        <f t="shared" ca="1" si="56"/>
        <v>0.13867587606811735</v>
      </c>
      <c r="I619" s="20">
        <f t="shared" ca="1" si="55"/>
        <v>0.14048486165681748</v>
      </c>
      <c r="J619" s="20">
        <f t="shared" ca="1" si="51"/>
        <v>0.1400717200161298</v>
      </c>
      <c r="K619" s="36">
        <v>14</v>
      </c>
    </row>
    <row r="620" spans="1:11" x14ac:dyDescent="0.25">
      <c r="A620" s="13" t="s">
        <v>7</v>
      </c>
      <c r="B620" s="29">
        <v>45184</v>
      </c>
      <c r="C620" s="20">
        <v>0.13992499999999999</v>
      </c>
      <c r="D620" s="30">
        <f t="shared" ca="1" si="52"/>
        <v>127.78206652932046</v>
      </c>
      <c r="E620" s="31">
        <f>+E619*(1+C619*F620/365)</f>
        <v>127.78206652932046</v>
      </c>
      <c r="F620" s="32">
        <f t="shared" si="53"/>
        <v>1</v>
      </c>
      <c r="G620" s="20">
        <f t="shared" ca="1" si="54"/>
        <v>0.1401381469390604</v>
      </c>
      <c r="H620" s="20">
        <f t="shared" ca="1" si="56"/>
        <v>0.13882402455110807</v>
      </c>
      <c r="I620" s="20">
        <f t="shared" ca="1" si="55"/>
        <v>0.14054232041066525</v>
      </c>
      <c r="J620" s="20">
        <f t="shared" ca="1" si="51"/>
        <v>0.14007203870466586</v>
      </c>
      <c r="K620" s="36">
        <v>14</v>
      </c>
    </row>
    <row r="621" spans="1:11" x14ac:dyDescent="0.25">
      <c r="A621" s="23" t="s">
        <v>6</v>
      </c>
      <c r="B621" s="24">
        <v>45185</v>
      </c>
      <c r="C621" s="28">
        <v>0.13992499999999999</v>
      </c>
      <c r="D621" s="25">
        <f t="shared" ca="1" si="52"/>
        <v>127.83105257222215</v>
      </c>
      <c r="E621" s="26">
        <f>+E620*(1+C620*F621/365)</f>
        <v>127.83105257222215</v>
      </c>
      <c r="F621" s="27">
        <f t="shared" si="53"/>
        <v>1</v>
      </c>
      <c r="G621" s="28">
        <f t="shared" ca="1" si="54"/>
        <v>0.14012740797689216</v>
      </c>
      <c r="H621" s="28">
        <f t="shared" ca="1" si="56"/>
        <v>0.13894865120059235</v>
      </c>
      <c r="I621" s="28">
        <f t="shared" ca="1" si="55"/>
        <v>0.14059949166217023</v>
      </c>
      <c r="J621" s="28">
        <f t="shared" ca="1" si="51"/>
        <v>0.14007223055970683</v>
      </c>
      <c r="K621" s="36">
        <v>14</v>
      </c>
    </row>
    <row r="622" spans="1:11" x14ac:dyDescent="0.25">
      <c r="A622" s="23" t="s">
        <v>6</v>
      </c>
      <c r="B622" s="24">
        <v>45186</v>
      </c>
      <c r="C622" s="28">
        <v>0.13992499999999999</v>
      </c>
      <c r="D622" s="25">
        <f t="shared" ca="1" si="52"/>
        <v>127.88003861512384</v>
      </c>
      <c r="E622" s="26">
        <f>+E620*(1+C621*F622/365)</f>
        <v>127.88003861512384</v>
      </c>
      <c r="F622" s="27">
        <f t="shared" si="53"/>
        <v>2</v>
      </c>
      <c r="G622" s="28">
        <f t="shared" ca="1" si="54"/>
        <v>0.14011667724652518</v>
      </c>
      <c r="H622" s="28">
        <f t="shared" ca="1" si="56"/>
        <v>0.13899102641690539</v>
      </c>
      <c r="I622" s="28">
        <f t="shared" ca="1" si="55"/>
        <v>0.14065662066948731</v>
      </c>
      <c r="J622" s="28">
        <f t="shared" ca="1" si="51"/>
        <v>0.14007242226779734</v>
      </c>
      <c r="K622" s="36">
        <v>14</v>
      </c>
    </row>
    <row r="623" spans="1:11" x14ac:dyDescent="0.25">
      <c r="A623" s="13" t="s">
        <v>7</v>
      </c>
      <c r="B623" s="29">
        <v>45187</v>
      </c>
      <c r="C623" s="20">
        <v>0.14000000000000001</v>
      </c>
      <c r="D623" s="30">
        <f t="shared" ca="1" si="52"/>
        <v>127.92902465802551</v>
      </c>
      <c r="E623" s="31">
        <f>+E620*(1+C622*F623/365)</f>
        <v>127.92902465802551</v>
      </c>
      <c r="F623" s="32">
        <f t="shared" si="53"/>
        <v>3</v>
      </c>
      <c r="G623" s="20">
        <f t="shared" ca="1" si="54"/>
        <v>0.14010595473846549</v>
      </c>
      <c r="H623" s="20">
        <f t="shared" ca="1" si="56"/>
        <v>0.1391430477615285</v>
      </c>
      <c r="I623" s="20">
        <f t="shared" ca="1" si="55"/>
        <v>0.14071198789227427</v>
      </c>
      <c r="J623" s="20">
        <f t="shared" ca="1" si="51"/>
        <v>0.14007261382910499</v>
      </c>
      <c r="K623" s="36">
        <v>14</v>
      </c>
    </row>
    <row r="624" spans="1:11" x14ac:dyDescent="0.25">
      <c r="A624" s="13" t="s">
        <v>7</v>
      </c>
      <c r="B624" s="29">
        <v>45188</v>
      </c>
      <c r="C624" s="20">
        <v>0.13980999999999999</v>
      </c>
      <c r="D624" s="30">
        <f t="shared" ca="1" si="52"/>
        <v>127.97809332501764</v>
      </c>
      <c r="E624" s="31">
        <f>+E623*(1+C623*F624/365)</f>
        <v>127.97809332501764</v>
      </c>
      <c r="F624" s="32">
        <f t="shared" si="53"/>
        <v>1</v>
      </c>
      <c r="G624" s="20">
        <f t="shared" ca="1" si="54"/>
        <v>0.14010595473846549</v>
      </c>
      <c r="H624" s="20">
        <f t="shared" ca="1" si="56"/>
        <v>0.1393029013515649</v>
      </c>
      <c r="I624" s="20">
        <f t="shared" ca="1" si="55"/>
        <v>0.14076944975629016</v>
      </c>
      <c r="J624" s="20">
        <f t="shared" ca="1" si="51"/>
        <v>0.14007420483331973</v>
      </c>
      <c r="K624" s="36">
        <v>14</v>
      </c>
    </row>
    <row r="625" spans="1:11" x14ac:dyDescent="0.25">
      <c r="A625" s="13" t="s">
        <v>7</v>
      </c>
      <c r="B625" s="29">
        <v>45189</v>
      </c>
      <c r="C625" s="20">
        <v>0.14000000000000001</v>
      </c>
      <c r="D625" s="30">
        <f t="shared" ca="1" si="52"/>
        <v>128.02711419413484</v>
      </c>
      <c r="E625" s="31">
        <f>+E624*(1+C624*F625/365)</f>
        <v>128.02711419413484</v>
      </c>
      <c r="F625" s="32">
        <f t="shared" si="53"/>
        <v>1</v>
      </c>
      <c r="G625" s="20">
        <f t="shared" ca="1" si="54"/>
        <v>0.14007874938439421</v>
      </c>
      <c r="H625" s="20">
        <f t="shared" ca="1" si="56"/>
        <v>0.13945804216558275</v>
      </c>
      <c r="I625" s="20">
        <f t="shared" ca="1" si="55"/>
        <v>0.14082472882643146</v>
      </c>
      <c r="J625" s="20">
        <f t="shared" ca="1" si="51"/>
        <v>0.14013244882299322</v>
      </c>
      <c r="K625" s="36">
        <v>14</v>
      </c>
    </row>
    <row r="626" spans="1:11" x14ac:dyDescent="0.25">
      <c r="A626" s="13" t="s">
        <v>7</v>
      </c>
      <c r="B626" s="29">
        <v>45190</v>
      </c>
      <c r="C626" s="20">
        <v>0.14000000000000001</v>
      </c>
      <c r="D626" s="30">
        <f t="shared" ca="1" si="52"/>
        <v>128.07622048451069</v>
      </c>
      <c r="E626" s="31">
        <f>+E625*(1+C625*F626/365)</f>
        <v>128.07622048451069</v>
      </c>
      <c r="F626" s="32">
        <f t="shared" si="53"/>
        <v>1</v>
      </c>
      <c r="G626" s="20">
        <f t="shared" ca="1" si="54"/>
        <v>0.14007874938439421</v>
      </c>
      <c r="H626" s="20">
        <f t="shared" ca="1" si="56"/>
        <v>0.13962655688902878</v>
      </c>
      <c r="I626" s="20">
        <f t="shared" ca="1" si="55"/>
        <v>0.14088219223427276</v>
      </c>
      <c r="J626" s="20">
        <f t="shared" ca="1" si="51"/>
        <v>0.14019172153896989</v>
      </c>
      <c r="K626" s="36">
        <v>14</v>
      </c>
    </row>
    <row r="627" spans="1:11" x14ac:dyDescent="0.25">
      <c r="A627" s="13" t="s">
        <v>7</v>
      </c>
      <c r="B627" s="29">
        <v>45191</v>
      </c>
      <c r="C627" s="20">
        <v>0.14000000000000001</v>
      </c>
      <c r="D627" s="30">
        <f t="shared" ca="1" si="52"/>
        <v>128.125345610176</v>
      </c>
      <c r="E627" s="31">
        <f>+E626*(1+C626*F627/365)</f>
        <v>128.125345610176</v>
      </c>
      <c r="F627" s="32">
        <f t="shared" si="53"/>
        <v>1</v>
      </c>
      <c r="G627" s="20">
        <f t="shared" ca="1" si="54"/>
        <v>0.14007874938440579</v>
      </c>
      <c r="H627" s="20">
        <f t="shared" ca="1" si="56"/>
        <v>0.13975594385403495</v>
      </c>
      <c r="I627" s="20">
        <f t="shared" ca="1" si="55"/>
        <v>0.14093965642899328</v>
      </c>
      <c r="J627" s="20">
        <f t="shared" ca="1" si="51"/>
        <v>0.14025109681625028</v>
      </c>
      <c r="K627" s="36">
        <v>14</v>
      </c>
    </row>
    <row r="628" spans="1:11" x14ac:dyDescent="0.25">
      <c r="A628" s="23" t="s">
        <v>6</v>
      </c>
      <c r="B628" s="24">
        <v>45192</v>
      </c>
      <c r="C628" s="28">
        <v>0.14000000000000001</v>
      </c>
      <c r="D628" s="25">
        <f t="shared" ca="1" si="52"/>
        <v>128.17448957835526</v>
      </c>
      <c r="E628" s="26">
        <f>+E627*(1+C627*F628/365)</f>
        <v>128.17448957835526</v>
      </c>
      <c r="F628" s="27">
        <f t="shared" si="53"/>
        <v>1</v>
      </c>
      <c r="G628" s="28">
        <f t="shared" ca="1" si="54"/>
        <v>0.14008948833658219</v>
      </c>
      <c r="H628" s="28">
        <f t="shared" ca="1" si="56"/>
        <v>0.13992446265681852</v>
      </c>
      <c r="I628" s="28">
        <f t="shared" ca="1" si="55"/>
        <v>0.14099769506898918</v>
      </c>
      <c r="J628" s="28">
        <f t="shared" ca="1" si="51"/>
        <v>0.14031074855254602</v>
      </c>
      <c r="K628" s="36">
        <v>14</v>
      </c>
    </row>
    <row r="629" spans="1:11" x14ac:dyDescent="0.25">
      <c r="A629" s="23" t="s">
        <v>6</v>
      </c>
      <c r="B629" s="24">
        <v>45193</v>
      </c>
      <c r="C629" s="28">
        <v>0.14000000000000001</v>
      </c>
      <c r="D629" s="25">
        <f t="shared" ca="1" si="52"/>
        <v>128.22363354653447</v>
      </c>
      <c r="E629" s="26">
        <f>+E627*(1+C628*F629/365)</f>
        <v>128.22363354653447</v>
      </c>
      <c r="F629" s="27">
        <f t="shared" si="53"/>
        <v>2</v>
      </c>
      <c r="G629" s="28">
        <f t="shared" ca="1" si="54"/>
        <v>0.14010021906136855</v>
      </c>
      <c r="H629" s="28">
        <f t="shared" ca="1" si="56"/>
        <v>0.14009117459059289</v>
      </c>
      <c r="I629" s="28">
        <f t="shared" ca="1" si="55"/>
        <v>0.14105569082387601</v>
      </c>
      <c r="J629" s="28">
        <f t="shared" ca="1" si="51"/>
        <v>0.14036980835732163</v>
      </c>
      <c r="K629" s="36">
        <v>14</v>
      </c>
    </row>
    <row r="630" spans="1:11" x14ac:dyDescent="0.25">
      <c r="A630" s="13" t="s">
        <v>7</v>
      </c>
      <c r="B630" s="29">
        <v>45194</v>
      </c>
      <c r="C630" s="20">
        <v>0.14000000000000001</v>
      </c>
      <c r="D630" s="30">
        <f t="shared" ca="1" si="52"/>
        <v>128.27277751471374</v>
      </c>
      <c r="E630" s="31">
        <f>+E627*(1+C629*F630/365)</f>
        <v>128.27277751471374</v>
      </c>
      <c r="F630" s="32">
        <f t="shared" si="53"/>
        <v>3</v>
      </c>
      <c r="G630" s="20">
        <f t="shared" ca="1" si="54"/>
        <v>0.1401109415682473</v>
      </c>
      <c r="H630" s="20">
        <f t="shared" ca="1" si="56"/>
        <v>0.14024293598165313</v>
      </c>
      <c r="I630" s="20">
        <f t="shared" ca="1" si="55"/>
        <v>0.14111192399013647</v>
      </c>
      <c r="J630" s="20">
        <f t="shared" ref="J630:J693" ca="1" si="57">($D630/OFFSET($D630,-180,0)-1)*365/180</f>
        <v>0.14042855127420287</v>
      </c>
      <c r="K630" s="36">
        <v>14</v>
      </c>
    </row>
    <row r="631" spans="1:11" x14ac:dyDescent="0.25">
      <c r="A631" s="13" t="s">
        <v>7</v>
      </c>
      <c r="B631" s="29">
        <v>45195</v>
      </c>
      <c r="C631" s="20">
        <v>0.14000000000000001</v>
      </c>
      <c r="D631" s="30">
        <f t="shared" ca="1" si="52"/>
        <v>128.32197803211665</v>
      </c>
      <c r="E631" s="31">
        <f>+E630*(1+C630*F631/365)</f>
        <v>128.32197803211665</v>
      </c>
      <c r="F631" s="32">
        <f t="shared" si="53"/>
        <v>1</v>
      </c>
      <c r="G631" s="20">
        <f t="shared" ca="1" si="54"/>
        <v>0.1401109415682473</v>
      </c>
      <c r="H631" s="20">
        <f t="shared" ca="1" si="56"/>
        <v>0.14040000837639</v>
      </c>
      <c r="I631" s="20">
        <f t="shared" ca="1" si="55"/>
        <v>0.14084868622062971</v>
      </c>
      <c r="J631" s="20">
        <f t="shared" ca="1" si="57"/>
        <v>0.14048793303765855</v>
      </c>
      <c r="K631" s="36">
        <v>14</v>
      </c>
    </row>
    <row r="632" spans="1:11" x14ac:dyDescent="0.25">
      <c r="A632" s="13" t="s">
        <v>7</v>
      </c>
      <c r="B632" s="29">
        <v>45196</v>
      </c>
      <c r="C632" s="20">
        <v>0.14000000000000001</v>
      </c>
      <c r="D632" s="30">
        <f t="shared" ca="1" si="52"/>
        <v>128.37119742095089</v>
      </c>
      <c r="E632" s="31">
        <f>+E631*(1+C631*F632/365)</f>
        <v>128.37119742095089</v>
      </c>
      <c r="F632" s="32">
        <f t="shared" si="53"/>
        <v>1</v>
      </c>
      <c r="G632" s="20">
        <f t="shared" ca="1" si="54"/>
        <v>0.14013814693907198</v>
      </c>
      <c r="H632" s="20">
        <f t="shared" ca="1" si="56"/>
        <v>0.14055877361954924</v>
      </c>
      <c r="I632" s="20">
        <f t="shared" ca="1" si="55"/>
        <v>0.14058630007666967</v>
      </c>
      <c r="J632" s="20">
        <f t="shared" ca="1" si="57"/>
        <v>0.14054731642743259</v>
      </c>
      <c r="K632" s="36">
        <v>14</v>
      </c>
    </row>
    <row r="633" spans="1:11" x14ac:dyDescent="0.25">
      <c r="A633" s="13" t="s">
        <v>7</v>
      </c>
      <c r="B633" s="29">
        <v>45197</v>
      </c>
      <c r="C633" s="20">
        <v>0.14000000000000001</v>
      </c>
      <c r="D633" s="30">
        <f t="shared" ca="1" si="52"/>
        <v>128.42043568845483</v>
      </c>
      <c r="E633" s="31">
        <f>+E632*(1+C632*F633/365)</f>
        <v>128.42043568845483</v>
      </c>
      <c r="F633" s="32">
        <f t="shared" si="53"/>
        <v>1</v>
      </c>
      <c r="G633" s="20">
        <f t="shared" ca="1" si="54"/>
        <v>0.14013814693907198</v>
      </c>
      <c r="H633" s="20">
        <f t="shared" ca="1" si="56"/>
        <v>0.14063585857566702</v>
      </c>
      <c r="I633" s="20">
        <f t="shared" ca="1" si="55"/>
        <v>0.14032476465599783</v>
      </c>
      <c r="J633" s="20">
        <f t="shared" ca="1" si="57"/>
        <v>0.14054731642743259</v>
      </c>
      <c r="K633" s="36">
        <v>14</v>
      </c>
    </row>
    <row r="634" spans="1:11" x14ac:dyDescent="0.25">
      <c r="A634" s="13" t="s">
        <v>7</v>
      </c>
      <c r="B634" s="29">
        <v>45198</v>
      </c>
      <c r="C634" s="20">
        <v>0.14000000000000001</v>
      </c>
      <c r="D634" s="30">
        <f t="shared" ca="1" si="52"/>
        <v>128.4696928418696</v>
      </c>
      <c r="E634" s="31">
        <f>+E633*(1+C633*F634/365)</f>
        <v>128.4696928418696</v>
      </c>
      <c r="F634" s="32">
        <f t="shared" si="53"/>
        <v>1</v>
      </c>
      <c r="G634" s="20">
        <f t="shared" ca="1" si="54"/>
        <v>0.14013814693907198</v>
      </c>
      <c r="H634" s="20">
        <f t="shared" ca="1" si="56"/>
        <v>0.1406835186325259</v>
      </c>
      <c r="I634" s="20">
        <f t="shared" ca="1" si="55"/>
        <v>0.1400640790580594</v>
      </c>
      <c r="J634" s="20">
        <f t="shared" ca="1" si="57"/>
        <v>0.14054763518588503</v>
      </c>
      <c r="K634" s="36">
        <v>14</v>
      </c>
    </row>
    <row r="635" spans="1:11" x14ac:dyDescent="0.25">
      <c r="A635" s="23" t="s">
        <v>6</v>
      </c>
      <c r="B635" s="24">
        <v>45199</v>
      </c>
      <c r="C635" s="28">
        <v>0.14000000000000001</v>
      </c>
      <c r="D635" s="25">
        <f t="shared" ca="1" si="52"/>
        <v>128.5189688884391</v>
      </c>
      <c r="E635" s="26">
        <f>+E634*(1+C634*F635/365)</f>
        <v>128.5189688884391</v>
      </c>
      <c r="F635" s="27">
        <f t="shared" si="53"/>
        <v>1</v>
      </c>
      <c r="G635" s="28">
        <f t="shared" ca="1" si="54"/>
        <v>0.14013814693907198</v>
      </c>
      <c r="H635" s="28">
        <f t="shared" ca="1" si="56"/>
        <v>0.14071523590910917</v>
      </c>
      <c r="I635" s="28">
        <f t="shared" ca="1" si="55"/>
        <v>0.13980424238398992</v>
      </c>
      <c r="J635" s="28">
        <f t="shared" ca="1" si="57"/>
        <v>0.14054827245863619</v>
      </c>
      <c r="K635" s="36">
        <v>14</v>
      </c>
    </row>
    <row r="636" spans="1:11" x14ac:dyDescent="0.25">
      <c r="A636" s="23" t="s">
        <v>6</v>
      </c>
      <c r="B636" s="24">
        <v>45200</v>
      </c>
      <c r="C636" s="28">
        <v>0.14000000000000001</v>
      </c>
      <c r="D636" s="25">
        <f t="shared" ca="1" si="52"/>
        <v>128.56824493500855</v>
      </c>
      <c r="E636" s="26">
        <f>+E634*(1+C635*F636/365)</f>
        <v>128.56824493500855</v>
      </c>
      <c r="F636" s="27">
        <f t="shared" si="53"/>
        <v>2</v>
      </c>
      <c r="G636" s="28">
        <f t="shared" ca="1" si="54"/>
        <v>0.14013814693907198</v>
      </c>
      <c r="H636" s="28">
        <f t="shared" ca="1" si="56"/>
        <v>0.1407134266410057</v>
      </c>
      <c r="I636" s="28">
        <f t="shared" ca="1" si="55"/>
        <v>0.13954463702851758</v>
      </c>
      <c r="J636" s="28">
        <f t="shared" ca="1" si="57"/>
        <v>0.14060733873368039</v>
      </c>
      <c r="K636" s="36">
        <v>14</v>
      </c>
    </row>
    <row r="637" spans="1:11" x14ac:dyDescent="0.25">
      <c r="A637" s="23" t="s">
        <v>6</v>
      </c>
      <c r="B637" s="24">
        <v>45201</v>
      </c>
      <c r="C637" s="28">
        <v>0.14000000000000001</v>
      </c>
      <c r="D637" s="25">
        <f t="shared" ca="1" si="52"/>
        <v>128.61752098157805</v>
      </c>
      <c r="E637" s="26">
        <f>+E635*(1+C636*F637/365)</f>
        <v>128.66685372935183</v>
      </c>
      <c r="F637" s="27">
        <f t="shared" si="53"/>
        <v>3</v>
      </c>
      <c r="G637" s="28">
        <f t="shared" ca="1" si="54"/>
        <v>0.14013814693907198</v>
      </c>
      <c r="H637" s="28">
        <f t="shared" ca="1" si="56"/>
        <v>0.14071161875977706</v>
      </c>
      <c r="I637" s="28">
        <f t="shared" ca="1" si="55"/>
        <v>0.13960084994717123</v>
      </c>
      <c r="J637" s="28">
        <f t="shared" ca="1" si="57"/>
        <v>0.14066608808611403</v>
      </c>
      <c r="K637" s="36">
        <v>14</v>
      </c>
    </row>
    <row r="638" spans="1:11" x14ac:dyDescent="0.25">
      <c r="A638" s="13" t="s">
        <v>7</v>
      </c>
      <c r="B638" s="29">
        <v>45202</v>
      </c>
      <c r="C638" s="20">
        <v>0.14000000000000001</v>
      </c>
      <c r="D638" s="30">
        <f t="shared" ca="1" si="52"/>
        <v>128.66679702814756</v>
      </c>
      <c r="E638" s="31">
        <f>+E634*(1+C637*F638/365)</f>
        <v>128.66679702814756</v>
      </c>
      <c r="F638" s="32">
        <f t="shared" si="53"/>
        <v>4</v>
      </c>
      <c r="G638" s="20">
        <f t="shared" ca="1" si="54"/>
        <v>0.1401151067487735</v>
      </c>
      <c r="H638" s="20">
        <f t="shared" ca="1" si="56"/>
        <v>0.14070981226381843</v>
      </c>
      <c r="I638" s="20">
        <f t="shared" ca="1" si="55"/>
        <v>0.13965644783928274</v>
      </c>
      <c r="J638" s="20">
        <f t="shared" ca="1" si="57"/>
        <v>0.14072452073412228</v>
      </c>
      <c r="K638" s="36">
        <v>14</v>
      </c>
    </row>
    <row r="639" spans="1:11" x14ac:dyDescent="0.25">
      <c r="A639" s="13" t="s">
        <v>7</v>
      </c>
      <c r="B639" s="29">
        <v>45203</v>
      </c>
      <c r="C639" s="20">
        <v>0.14000000000000001</v>
      </c>
      <c r="D639" s="30">
        <f t="shared" ca="1" si="52"/>
        <v>128.71614867632275</v>
      </c>
      <c r="E639" s="31">
        <f>+E638*(1+C638*F639/365)</f>
        <v>128.71614867632275</v>
      </c>
      <c r="F639" s="32">
        <f t="shared" si="53"/>
        <v>1</v>
      </c>
      <c r="G639" s="20">
        <f t="shared" ca="1" si="54"/>
        <v>0.1401151067487735</v>
      </c>
      <c r="H639" s="20">
        <f t="shared" ca="1" si="56"/>
        <v>0.14071523590910917</v>
      </c>
      <c r="I639" s="20">
        <f t="shared" ca="1" si="55"/>
        <v>0.13971389524919156</v>
      </c>
      <c r="J639" s="20">
        <f t="shared" ca="1" si="57"/>
        <v>0.14078391060344292</v>
      </c>
      <c r="K639" s="36">
        <v>14</v>
      </c>
    </row>
    <row r="640" spans="1:11" x14ac:dyDescent="0.25">
      <c r="A640" s="13" t="s">
        <v>7</v>
      </c>
      <c r="B640" s="29">
        <v>45204</v>
      </c>
      <c r="C640" s="20">
        <v>0.14000000000000001</v>
      </c>
      <c r="D640" s="30">
        <f t="shared" ca="1" si="52"/>
        <v>128.76551925389722</v>
      </c>
      <c r="E640" s="31">
        <f>+E639*(1+C639*F640/365)</f>
        <v>128.76551925389722</v>
      </c>
      <c r="F640" s="32">
        <f t="shared" si="53"/>
        <v>1</v>
      </c>
      <c r="G640" s="20">
        <f t="shared" ca="1" si="54"/>
        <v>0.1401151067487619</v>
      </c>
      <c r="H640" s="20">
        <f t="shared" ca="1" si="56"/>
        <v>0.14071523590910917</v>
      </c>
      <c r="I640" s="20">
        <f t="shared" ca="1" si="55"/>
        <v>0.13977134344575989</v>
      </c>
      <c r="J640" s="20">
        <f t="shared" ca="1" si="57"/>
        <v>0.14084330209930387</v>
      </c>
      <c r="K640" s="36">
        <v>14</v>
      </c>
    </row>
    <row r="641" spans="1:11" x14ac:dyDescent="0.25">
      <c r="A641" s="13" t="s">
        <v>7</v>
      </c>
      <c r="B641" s="29">
        <v>45205</v>
      </c>
      <c r="C641" s="20">
        <v>0.14000000000000001</v>
      </c>
      <c r="D641" s="30">
        <f t="shared" ca="1" si="52"/>
        <v>128.8149087681316</v>
      </c>
      <c r="E641" s="31">
        <f>+E640*(1+C640*F641/365)</f>
        <v>128.8149087681316</v>
      </c>
      <c r="F641" s="32">
        <f t="shared" si="53"/>
        <v>1</v>
      </c>
      <c r="G641" s="20">
        <f t="shared" ca="1" si="54"/>
        <v>0.1401151067487619</v>
      </c>
      <c r="H641" s="20">
        <f t="shared" ca="1" si="56"/>
        <v>0.14071523590910917</v>
      </c>
      <c r="I641" s="20">
        <f t="shared" ca="1" si="55"/>
        <v>0.13982879242899943</v>
      </c>
      <c r="J641" s="20">
        <f t="shared" ca="1" si="57"/>
        <v>0.14090297012969724</v>
      </c>
      <c r="K641" s="36">
        <v>14</v>
      </c>
    </row>
    <row r="642" spans="1:11" x14ac:dyDescent="0.25">
      <c r="A642" s="23" t="s">
        <v>6</v>
      </c>
      <c r="B642" s="24">
        <v>45206</v>
      </c>
      <c r="C642" s="28">
        <v>0.14000000000000001</v>
      </c>
      <c r="D642" s="25">
        <f t="shared" ca="1" si="52"/>
        <v>128.86431722628924</v>
      </c>
      <c r="E642" s="26">
        <f>+E641*(1+C641*F642/365)</f>
        <v>128.86431722628924</v>
      </c>
      <c r="F642" s="27">
        <f t="shared" si="53"/>
        <v>1</v>
      </c>
      <c r="G642" s="28">
        <f t="shared" ca="1" si="54"/>
        <v>0.14011510674875033</v>
      </c>
      <c r="H642" s="28">
        <f t="shared" ca="1" si="56"/>
        <v>0.1407403131693209</v>
      </c>
      <c r="I642" s="28">
        <f t="shared" ca="1" si="55"/>
        <v>0.13988681570545169</v>
      </c>
      <c r="J642" s="28">
        <f t="shared" ca="1" si="57"/>
        <v>0.1409629145217027</v>
      </c>
      <c r="K642" s="36">
        <v>14</v>
      </c>
    </row>
    <row r="643" spans="1:11" x14ac:dyDescent="0.25">
      <c r="A643" s="23" t="s">
        <v>6</v>
      </c>
      <c r="B643" s="24">
        <v>45207</v>
      </c>
      <c r="C643" s="28">
        <v>0.14000000000000001</v>
      </c>
      <c r="D643" s="25">
        <f t="shared" ref="D643:D706" ca="1" si="58">+IF(F643=1,D642*(1+C642*F643/365),OFFSET(D642,-F643+1,0)*(1+C642*F643/365))</f>
        <v>128.91372568444686</v>
      </c>
      <c r="E643" s="26">
        <f>+E641*(1+C642*F643/365)</f>
        <v>128.91372568444686</v>
      </c>
      <c r="F643" s="27">
        <f t="shared" si="53"/>
        <v>2</v>
      </c>
      <c r="G643" s="28">
        <f t="shared" ca="1" si="54"/>
        <v>0.1401151067487619</v>
      </c>
      <c r="H643" s="28">
        <f t="shared" ca="1" si="56"/>
        <v>0.14073850389752984</v>
      </c>
      <c r="I643" s="28">
        <f t="shared" ca="1" si="55"/>
        <v>0.13994479610814767</v>
      </c>
      <c r="J643" s="28">
        <f t="shared" ca="1" si="57"/>
        <v>0.14102199209180191</v>
      </c>
      <c r="K643" s="36">
        <v>14</v>
      </c>
    </row>
    <row r="644" spans="1:11" x14ac:dyDescent="0.25">
      <c r="A644" s="13" t="s">
        <v>7</v>
      </c>
      <c r="B644" s="29">
        <v>45208</v>
      </c>
      <c r="C644" s="20">
        <v>0.14000000000000001</v>
      </c>
      <c r="D644" s="30">
        <f t="shared" ca="1" si="58"/>
        <v>128.96313414260453</v>
      </c>
      <c r="E644" s="31">
        <f>+E641*(1+C643*F644/365)</f>
        <v>128.96313414260453</v>
      </c>
      <c r="F644" s="32">
        <f t="shared" si="53"/>
        <v>3</v>
      </c>
      <c r="G644" s="20">
        <f t="shared" ca="1" si="54"/>
        <v>0.1401151067487619</v>
      </c>
      <c r="H644" s="20">
        <f t="shared" ca="1" si="56"/>
        <v>0.14073488674136281</v>
      </c>
      <c r="I644" s="20">
        <f t="shared" ca="1" si="55"/>
        <v>0.14000101438879714</v>
      </c>
      <c r="J644" s="20">
        <f t="shared" ca="1" si="57"/>
        <v>0.14108075267868683</v>
      </c>
      <c r="K644" s="36">
        <v>14</v>
      </c>
    </row>
    <row r="645" spans="1:11" x14ac:dyDescent="0.25">
      <c r="A645" s="13" t="s">
        <v>7</v>
      </c>
      <c r="B645" s="29">
        <v>45209</v>
      </c>
      <c r="C645" s="20">
        <v>0.14000000000000001</v>
      </c>
      <c r="D645" s="30">
        <f t="shared" ca="1" si="58"/>
        <v>129.01259945433048</v>
      </c>
      <c r="E645" s="31">
        <f>+E644*(1+C644*F645/365)</f>
        <v>129.01259945433048</v>
      </c>
      <c r="F645" s="32">
        <f t="shared" si="53"/>
        <v>1</v>
      </c>
      <c r="G645" s="20">
        <f t="shared" ca="1" si="54"/>
        <v>0.14013814693907198</v>
      </c>
      <c r="H645" s="20">
        <f t="shared" ca="1" si="56"/>
        <v>0.14073669601262165</v>
      </c>
      <c r="I645" s="20">
        <f t="shared" ca="1" si="55"/>
        <v>0.14005846651705112</v>
      </c>
      <c r="J645" s="20">
        <f t="shared" ca="1" si="57"/>
        <v>0.14114015230431237</v>
      </c>
      <c r="K645" s="36">
        <v>14</v>
      </c>
    </row>
    <row r="646" spans="1:11" x14ac:dyDescent="0.25">
      <c r="A646" s="13" t="s">
        <v>7</v>
      </c>
      <c r="B646" s="29">
        <v>45210</v>
      </c>
      <c r="C646" s="20">
        <v>0.14000000000000001</v>
      </c>
      <c r="D646" s="30">
        <f t="shared" ca="1" si="58"/>
        <v>129.0620837390527</v>
      </c>
      <c r="E646" s="31">
        <f>+E645*(1+C645*F646/365)</f>
        <v>129.0620837390527</v>
      </c>
      <c r="F646" s="32">
        <f t="shared" si="53"/>
        <v>1</v>
      </c>
      <c r="G646" s="20">
        <f t="shared" ca="1" si="54"/>
        <v>0.1401381469390604</v>
      </c>
      <c r="H646" s="20">
        <f t="shared" ca="1" si="56"/>
        <v>0.14074031316932359</v>
      </c>
      <c r="I646" s="20">
        <f t="shared" ca="1" si="55"/>
        <v>0.14011591943202945</v>
      </c>
      <c r="J646" s="20">
        <f t="shared" ca="1" si="57"/>
        <v>0.14119955355674524</v>
      </c>
      <c r="K646" s="36">
        <v>14</v>
      </c>
    </row>
    <row r="647" spans="1:11" x14ac:dyDescent="0.25">
      <c r="A647" s="13" t="s">
        <v>7</v>
      </c>
      <c r="B647" s="29">
        <v>45211</v>
      </c>
      <c r="C647" s="20">
        <v>0.14000000000000001</v>
      </c>
      <c r="D647" s="30">
        <f t="shared" ca="1" si="58"/>
        <v>129.11158700404852</v>
      </c>
      <c r="E647" s="31">
        <f>+E646*(1+C646*F647/365)</f>
        <v>129.11158700404852</v>
      </c>
      <c r="F647" s="32">
        <f t="shared" ref="F647:F710" si="59">IF(A646="Working day",1,(IF(A645="Working day",2,(IF(A644="Working day",3,IF(A643="Working day",4,IF(A642="Working day",5,6)))))))</f>
        <v>1</v>
      </c>
      <c r="G647" s="20">
        <f t="shared" ca="1" si="54"/>
        <v>0.14013814693907198</v>
      </c>
      <c r="H647" s="20">
        <f t="shared" ca="1" si="56"/>
        <v>0.14074031316932359</v>
      </c>
      <c r="I647" s="20">
        <f t="shared" ca="1" si="55"/>
        <v>0.14014430136401942</v>
      </c>
      <c r="J647" s="20">
        <f t="shared" ca="1" si="57"/>
        <v>0.14125895643603045</v>
      </c>
      <c r="K647" s="36">
        <v>14</v>
      </c>
    </row>
    <row r="648" spans="1:11" x14ac:dyDescent="0.25">
      <c r="A648" s="13" t="s">
        <v>7</v>
      </c>
      <c r="B648" s="29">
        <v>45212</v>
      </c>
      <c r="C648" s="20">
        <v>0.14000000000000001</v>
      </c>
      <c r="D648" s="30">
        <f t="shared" ca="1" si="58"/>
        <v>129.16110925659802</v>
      </c>
      <c r="E648" s="31">
        <f>+E647*(1+C647*F648/365)</f>
        <v>129.16110925659802</v>
      </c>
      <c r="F648" s="32">
        <f t="shared" si="59"/>
        <v>1</v>
      </c>
      <c r="G648" s="20">
        <f t="shared" ca="1" si="54"/>
        <v>0.14013814693907198</v>
      </c>
      <c r="H648" s="20">
        <f t="shared" ca="1" si="56"/>
        <v>0.14074031316932359</v>
      </c>
      <c r="I648" s="20">
        <f t="shared" ca="1" si="55"/>
        <v>0.14015123024387904</v>
      </c>
      <c r="J648" s="20">
        <f t="shared" ca="1" si="57"/>
        <v>0.14131863590285013</v>
      </c>
      <c r="K648" s="36">
        <v>14</v>
      </c>
    </row>
    <row r="649" spans="1:11" x14ac:dyDescent="0.25">
      <c r="A649" s="23" t="s">
        <v>6</v>
      </c>
      <c r="B649" s="24">
        <v>45213</v>
      </c>
      <c r="C649" s="28">
        <v>0.14000000000000001</v>
      </c>
      <c r="D649" s="25">
        <f t="shared" ca="1" si="58"/>
        <v>129.21065050398411</v>
      </c>
      <c r="E649" s="26">
        <f>+E648*(1+C648*F649/365)</f>
        <v>129.21065050398411</v>
      </c>
      <c r="F649" s="27">
        <f t="shared" si="59"/>
        <v>1</v>
      </c>
      <c r="G649" s="28">
        <f t="shared" ref="G649:G712" ca="1" si="60">(D649/OFFSET(D649,-7,0)-1)*365/7</f>
        <v>0.14013814693907198</v>
      </c>
      <c r="H649" s="28">
        <f t="shared" ca="1" si="56"/>
        <v>0.14074031316932359</v>
      </c>
      <c r="I649" s="28">
        <f t="shared" ca="1" si="55"/>
        <v>0.14015877063365478</v>
      </c>
      <c r="J649" s="28">
        <f t="shared" ca="1" si="57"/>
        <v>0.14137859178425144</v>
      </c>
      <c r="K649" s="36">
        <v>14</v>
      </c>
    </row>
    <row r="650" spans="1:11" x14ac:dyDescent="0.25">
      <c r="A650" s="23" t="s">
        <v>6</v>
      </c>
      <c r="B650" s="24">
        <v>45214</v>
      </c>
      <c r="C650" s="28">
        <v>0.14000000000000001</v>
      </c>
      <c r="D650" s="25">
        <f t="shared" ca="1" si="58"/>
        <v>129.2601917513702</v>
      </c>
      <c r="E650" s="26">
        <f>+E648*(1+C649*F650/365)</f>
        <v>129.2601917513702</v>
      </c>
      <c r="F650" s="27">
        <f t="shared" si="59"/>
        <v>2</v>
      </c>
      <c r="G650" s="28">
        <f t="shared" ca="1" si="60"/>
        <v>0.14013814693908358</v>
      </c>
      <c r="H650" s="28">
        <f t="shared" ca="1" si="56"/>
        <v>0.14073850389753523</v>
      </c>
      <c r="I650" s="28">
        <f t="shared" ca="1" si="55"/>
        <v>0.14016630527052684</v>
      </c>
      <c r="J650" s="28">
        <f t="shared" ca="1" si="57"/>
        <v>0.14143768067760523</v>
      </c>
      <c r="K650" s="36">
        <v>14</v>
      </c>
    </row>
    <row r="651" spans="1:11" x14ac:dyDescent="0.25">
      <c r="A651" s="13" t="s">
        <v>7</v>
      </c>
      <c r="B651" s="29">
        <v>45215</v>
      </c>
      <c r="C651" s="20">
        <v>0.14000000000000001</v>
      </c>
      <c r="D651" s="30">
        <f t="shared" ca="1" si="58"/>
        <v>129.30973299875629</v>
      </c>
      <c r="E651" s="31">
        <f>+E648*(1+C650*F651/365)</f>
        <v>129.30973299875629</v>
      </c>
      <c r="F651" s="32">
        <f t="shared" si="59"/>
        <v>3</v>
      </c>
      <c r="G651" s="20">
        <f t="shared" ca="1" si="60"/>
        <v>0.1401381469390604</v>
      </c>
      <c r="H651" s="20">
        <f t="shared" ca="1" si="56"/>
        <v>0.14073741469038695</v>
      </c>
      <c r="I651" s="20">
        <f t="shared" ca="1" si="55"/>
        <v>0.14022252651932257</v>
      </c>
      <c r="J651" s="20">
        <f t="shared" ca="1" si="57"/>
        <v>0.14149645252698842</v>
      </c>
      <c r="K651" s="36">
        <v>14</v>
      </c>
    </row>
    <row r="652" spans="1:11" x14ac:dyDescent="0.25">
      <c r="A652" s="13" t="s">
        <v>7</v>
      </c>
      <c r="B652" s="29">
        <v>45216</v>
      </c>
      <c r="C652" s="20">
        <v>0.14000000000000001</v>
      </c>
      <c r="D652" s="30">
        <f t="shared" ca="1" si="58"/>
        <v>129.35933125250924</v>
      </c>
      <c r="E652" s="31">
        <f>+E651*(1+C651*F652/365)</f>
        <v>129.35933125250924</v>
      </c>
      <c r="F652" s="32">
        <f t="shared" si="59"/>
        <v>1</v>
      </c>
      <c r="G652" s="20">
        <f t="shared" ca="1" si="60"/>
        <v>0.1401381469390604</v>
      </c>
      <c r="H652" s="20">
        <f t="shared" ca="1" si="56"/>
        <v>0.14074174997468231</v>
      </c>
      <c r="I652" s="20">
        <f t="shared" ca="1" si="55"/>
        <v>0.14027998168086689</v>
      </c>
      <c r="J652" s="20">
        <f t="shared" ca="1" si="57"/>
        <v>0.14155586353759611</v>
      </c>
      <c r="K652" s="36">
        <v>14</v>
      </c>
    </row>
    <row r="653" spans="1:11" x14ac:dyDescent="0.25">
      <c r="A653" s="13" t="s">
        <v>7</v>
      </c>
      <c r="B653" s="29">
        <v>45217</v>
      </c>
      <c r="C653" s="20">
        <v>0.14000000000000001</v>
      </c>
      <c r="D653" s="30">
        <f t="shared" ca="1" si="58"/>
        <v>129.40894853024994</v>
      </c>
      <c r="E653" s="31">
        <f>+E652*(1+C652*F653/365)</f>
        <v>129.40894853024994</v>
      </c>
      <c r="F653" s="32">
        <f t="shared" si="59"/>
        <v>1</v>
      </c>
      <c r="G653" s="20">
        <f t="shared" ca="1" si="60"/>
        <v>0.1401381469390604</v>
      </c>
      <c r="H653" s="20">
        <f t="shared" ca="1" si="56"/>
        <v>0.14074789121178308</v>
      </c>
      <c r="I653" s="20">
        <f t="shared" ca="1" si="55"/>
        <v>0.14033743762917786</v>
      </c>
      <c r="J653" s="20">
        <f t="shared" ca="1" si="57"/>
        <v>0.14161527617532316</v>
      </c>
      <c r="K653" s="36">
        <v>14</v>
      </c>
    </row>
    <row r="654" spans="1:11" x14ac:dyDescent="0.25">
      <c r="A654" s="13" t="s">
        <v>7</v>
      </c>
      <c r="B654" s="29">
        <v>45218</v>
      </c>
      <c r="C654" s="20">
        <v>0.14000000000000001</v>
      </c>
      <c r="D654" s="30">
        <f t="shared" ca="1" si="58"/>
        <v>129.45858483927526</v>
      </c>
      <c r="E654" s="31">
        <f>+E653*(1+C653*F654/365)</f>
        <v>129.45858483927526</v>
      </c>
      <c r="F654" s="32">
        <f t="shared" si="59"/>
        <v>1</v>
      </c>
      <c r="G654" s="20">
        <f t="shared" ca="1" si="60"/>
        <v>0.1401381469390604</v>
      </c>
      <c r="H654" s="20">
        <f t="shared" ca="1" si="56"/>
        <v>0.14074789121178308</v>
      </c>
      <c r="I654" s="20">
        <f t="shared" ca="1" si="55"/>
        <v>0.14039489436426544</v>
      </c>
      <c r="J654" s="20">
        <f t="shared" ca="1" si="57"/>
        <v>0.14167496544602098</v>
      </c>
      <c r="K654" s="36">
        <v>14</v>
      </c>
    </row>
    <row r="655" spans="1:11" x14ac:dyDescent="0.25">
      <c r="A655" s="13" t="s">
        <v>7</v>
      </c>
      <c r="B655" s="29">
        <v>45219</v>
      </c>
      <c r="C655" s="20">
        <v>0.14000000000000001</v>
      </c>
      <c r="D655" s="30">
        <f t="shared" ca="1" si="58"/>
        <v>129.50824018688485</v>
      </c>
      <c r="E655" s="31">
        <f>+E654*(1+C654*F655/365)</f>
        <v>129.50824018688485</v>
      </c>
      <c r="F655" s="32">
        <f t="shared" si="59"/>
        <v>1</v>
      </c>
      <c r="G655" s="20">
        <f t="shared" ca="1" si="60"/>
        <v>0.1401381469390604</v>
      </c>
      <c r="H655" s="20">
        <f t="shared" ca="1" si="56"/>
        <v>0.14075429535808842</v>
      </c>
      <c r="I655" s="20">
        <f t="shared" ca="1" si="55"/>
        <v>0.1404523518861395</v>
      </c>
      <c r="J655" s="20">
        <f t="shared" ca="1" si="57"/>
        <v>0.14173493117670849</v>
      </c>
      <c r="K655" s="36">
        <v>14</v>
      </c>
    </row>
    <row r="656" spans="1:11" x14ac:dyDescent="0.25">
      <c r="A656" s="23" t="s">
        <v>6</v>
      </c>
      <c r="B656" s="24">
        <v>45220</v>
      </c>
      <c r="C656" s="28">
        <v>0.14000000000000001</v>
      </c>
      <c r="D656" s="25">
        <f t="shared" ca="1" si="58"/>
        <v>129.55791458038121</v>
      </c>
      <c r="E656" s="26">
        <f>+E655*(1+C655*F656/365)</f>
        <v>129.55791458038121</v>
      </c>
      <c r="F656" s="27">
        <f t="shared" si="59"/>
        <v>1</v>
      </c>
      <c r="G656" s="28">
        <f t="shared" ca="1" si="60"/>
        <v>0.14013814693907198</v>
      </c>
      <c r="H656" s="28">
        <f t="shared" ca="1" si="56"/>
        <v>0.14075429535809111</v>
      </c>
      <c r="I656" s="28">
        <f t="shared" ca="1" si="55"/>
        <v>0.14051038378658423</v>
      </c>
      <c r="J656" s="28">
        <f t="shared" ca="1" si="57"/>
        <v>0.14179517319469806</v>
      </c>
      <c r="K656" s="36">
        <v>14</v>
      </c>
    </row>
    <row r="657" spans="1:11" x14ac:dyDescent="0.25">
      <c r="A657" s="23" t="s">
        <v>6</v>
      </c>
      <c r="B657" s="24">
        <v>45221</v>
      </c>
      <c r="C657" s="28">
        <v>0.14000000000000001</v>
      </c>
      <c r="D657" s="25">
        <f t="shared" ca="1" si="58"/>
        <v>129.60758897387751</v>
      </c>
      <c r="E657" s="26">
        <f>+E655*(1+C656*F657/365)</f>
        <v>129.60758897387751</v>
      </c>
      <c r="F657" s="27">
        <f t="shared" si="59"/>
        <v>2</v>
      </c>
      <c r="G657" s="28">
        <f t="shared" ca="1" si="60"/>
        <v>0.1401381469390604</v>
      </c>
      <c r="H657" s="28">
        <f t="shared" ca="1" si="56"/>
        <v>0.14075248608424146</v>
      </c>
      <c r="I657" s="28">
        <f t="shared" ca="1" si="55"/>
        <v>0.14056837280690063</v>
      </c>
      <c r="J657" s="28">
        <f t="shared" ca="1" si="57"/>
        <v>0.14185537237684703</v>
      </c>
      <c r="K657" s="36">
        <v>14</v>
      </c>
    </row>
    <row r="658" spans="1:11" x14ac:dyDescent="0.25">
      <c r="A658" s="13" t="s">
        <v>7</v>
      </c>
      <c r="B658" s="29">
        <v>45222</v>
      </c>
      <c r="C658" s="20">
        <v>0.14000000000000001</v>
      </c>
      <c r="D658" s="30">
        <f t="shared" ca="1" si="58"/>
        <v>129.65726336737387</v>
      </c>
      <c r="E658" s="31">
        <f>+E655*(1+C657*F658/365)</f>
        <v>129.65726336737387</v>
      </c>
      <c r="F658" s="32">
        <f t="shared" si="59"/>
        <v>3</v>
      </c>
      <c r="G658" s="20">
        <f t="shared" ca="1" si="60"/>
        <v>0.14013814693907198</v>
      </c>
      <c r="H658" s="20">
        <f t="shared" ca="1" si="56"/>
        <v>0.14074886892396271</v>
      </c>
      <c r="I658" s="20">
        <f t="shared" ca="1" si="55"/>
        <v>0.14062459944326586</v>
      </c>
      <c r="J658" s="20">
        <f t="shared" ca="1" si="57"/>
        <v>0.14191415554300157</v>
      </c>
      <c r="K658" s="36">
        <v>14</v>
      </c>
    </row>
    <row r="659" spans="1:11" x14ac:dyDescent="0.25">
      <c r="A659" s="13" t="s">
        <v>7</v>
      </c>
      <c r="B659" s="29">
        <v>45223</v>
      </c>
      <c r="C659" s="20">
        <v>0.14000000000000001</v>
      </c>
      <c r="D659" s="30">
        <f t="shared" ca="1" si="58"/>
        <v>129.70699492044631</v>
      </c>
      <c r="E659" s="31">
        <f>+E658*(1+C658*F659/365)</f>
        <v>129.70699492044631</v>
      </c>
      <c r="F659" s="32">
        <f t="shared" si="59"/>
        <v>1</v>
      </c>
      <c r="G659" s="20">
        <f t="shared" ca="1" si="60"/>
        <v>0.14013814693907198</v>
      </c>
      <c r="H659" s="20">
        <f t="shared" ca="1" si="56"/>
        <v>0.14075067819727743</v>
      </c>
      <c r="I659" s="20">
        <f t="shared" ca="1" si="55"/>
        <v>0.14068206011062262</v>
      </c>
      <c r="J659" s="20">
        <f t="shared" ca="1" si="57"/>
        <v>0.14197357799345298</v>
      </c>
      <c r="K659" s="36">
        <v>14</v>
      </c>
    </row>
    <row r="660" spans="1:11" x14ac:dyDescent="0.25">
      <c r="A660" s="13" t="s">
        <v>7</v>
      </c>
      <c r="B660" s="29">
        <v>45224</v>
      </c>
      <c r="C660" s="20">
        <v>0.137601</v>
      </c>
      <c r="D660" s="30">
        <f t="shared" ca="1" si="58"/>
        <v>129.75674554863497</v>
      </c>
      <c r="E660" s="31">
        <f>+E659*(1+C659*F660/365)</f>
        <v>129.75674554863497</v>
      </c>
      <c r="F660" s="32">
        <f t="shared" si="59"/>
        <v>1</v>
      </c>
      <c r="G660" s="20">
        <f t="shared" ca="1" si="60"/>
        <v>0.1401381469390604</v>
      </c>
      <c r="H660" s="20">
        <f t="shared" ca="1" si="56"/>
        <v>0.14075429535808842</v>
      </c>
      <c r="I660" s="20">
        <f t="shared" ca="1" si="55"/>
        <v>0.14073952156481989</v>
      </c>
      <c r="J660" s="20">
        <f t="shared" ca="1" si="57"/>
        <v>0.14203300207133668</v>
      </c>
      <c r="K660" s="36">
        <v>14</v>
      </c>
    </row>
    <row r="661" spans="1:11" x14ac:dyDescent="0.25">
      <c r="A661" s="13" t="s">
        <v>7</v>
      </c>
      <c r="B661" s="29">
        <v>45225</v>
      </c>
      <c r="C661" s="20">
        <v>0.14000000000000001</v>
      </c>
      <c r="D661" s="30">
        <f t="shared" ca="1" si="58"/>
        <v>129.80566241971508</v>
      </c>
      <c r="E661" s="31">
        <f>+E660*(1+C660*F661/365)</f>
        <v>129.80566241971508</v>
      </c>
      <c r="F661" s="32">
        <f t="shared" si="59"/>
        <v>1</v>
      </c>
      <c r="G661" s="20">
        <f t="shared" ca="1" si="60"/>
        <v>0.1397946433357847</v>
      </c>
      <c r="H661" s="20">
        <f t="shared" ca="1" si="56"/>
        <v>0.14067343458444437</v>
      </c>
      <c r="I661" s="20">
        <f t="shared" ca="1" si="55"/>
        <v>0.1407694134226139</v>
      </c>
      <c r="J661" s="20">
        <f t="shared" ca="1" si="57"/>
        <v>0.14206310381086049</v>
      </c>
      <c r="K661" s="36">
        <v>14</v>
      </c>
    </row>
    <row r="662" spans="1:11" x14ac:dyDescent="0.25">
      <c r="A662" s="13" t="s">
        <v>7</v>
      </c>
      <c r="B662" s="29">
        <v>45226</v>
      </c>
      <c r="C662" s="20">
        <v>0.14147299999999999</v>
      </c>
      <c r="D662" s="30">
        <f t="shared" ca="1" si="58"/>
        <v>129.85545089297196</v>
      </c>
      <c r="E662" s="31">
        <f>+E661*(1+C661*F662/365)</f>
        <v>129.85545089297196</v>
      </c>
      <c r="F662" s="32">
        <f t="shared" si="59"/>
        <v>1</v>
      </c>
      <c r="G662" s="20">
        <f t="shared" ca="1" si="60"/>
        <v>0.1397946433357847</v>
      </c>
      <c r="H662" s="20">
        <f t="shared" ca="1" si="56"/>
        <v>0.14067343458444437</v>
      </c>
      <c r="I662" s="20">
        <f t="shared" ca="1" si="55"/>
        <v>0.14082687607299035</v>
      </c>
      <c r="J662" s="20">
        <f t="shared" ca="1" si="57"/>
        <v>0.14210774818439537</v>
      </c>
      <c r="K662" s="36">
        <v>14</v>
      </c>
    </row>
    <row r="663" spans="1:11" x14ac:dyDescent="0.25">
      <c r="A663" s="23" t="s">
        <v>6</v>
      </c>
      <c r="B663" s="24">
        <v>45227</v>
      </c>
      <c r="C663" s="28">
        <v>0.14147299999999999</v>
      </c>
      <c r="D663" s="25">
        <f t="shared" ca="1" si="58"/>
        <v>129.90578250996973</v>
      </c>
      <c r="E663" s="26">
        <f>+E662*(1+C662*F663/365)</f>
        <v>129.90578250996973</v>
      </c>
      <c r="F663" s="27">
        <f t="shared" si="59"/>
        <v>1</v>
      </c>
      <c r="G663" s="28">
        <f t="shared" ca="1" si="60"/>
        <v>0.14000555516708202</v>
      </c>
      <c r="H663" s="28">
        <f t="shared" ca="1" si="56"/>
        <v>0.14072308324514807</v>
      </c>
      <c r="I663" s="28">
        <f t="shared" ca="1" si="55"/>
        <v>0.1409018418841296</v>
      </c>
      <c r="J663" s="28">
        <f t="shared" ca="1" si="57"/>
        <v>0.14216143281534371</v>
      </c>
      <c r="K663" s="36">
        <v>14</v>
      </c>
    </row>
    <row r="664" spans="1:11" x14ac:dyDescent="0.25">
      <c r="A664" s="23" t="s">
        <v>6</v>
      </c>
      <c r="B664" s="24">
        <v>45228</v>
      </c>
      <c r="C664" s="28">
        <v>0.14147299999999999</v>
      </c>
      <c r="D664" s="25">
        <f t="shared" ca="1" si="58"/>
        <v>129.95611412696746</v>
      </c>
      <c r="E664" s="26">
        <f>+E662*(1+C663*F664/365)</f>
        <v>129.95611412696746</v>
      </c>
      <c r="F664" s="27">
        <f t="shared" si="59"/>
        <v>2</v>
      </c>
      <c r="G664" s="28">
        <f t="shared" ca="1" si="60"/>
        <v>0.14021630532703841</v>
      </c>
      <c r="H664" s="28">
        <f t="shared" ca="1" si="56"/>
        <v>0.14077088457185014</v>
      </c>
      <c r="I664" s="28">
        <f t="shared" ca="1" si="55"/>
        <v>0.14097675230257001</v>
      </c>
      <c r="J664" s="28">
        <f t="shared" ca="1" si="57"/>
        <v>0.14222929021142303</v>
      </c>
      <c r="K664" s="36">
        <v>14</v>
      </c>
    </row>
    <row r="665" spans="1:11" x14ac:dyDescent="0.25">
      <c r="A665" s="13" t="s">
        <v>7</v>
      </c>
      <c r="B665" s="29">
        <v>45229</v>
      </c>
      <c r="C665" s="20">
        <v>0.14214299999999999</v>
      </c>
      <c r="D665" s="30">
        <f t="shared" ca="1" si="58"/>
        <v>130.00644574396523</v>
      </c>
      <c r="E665" s="31">
        <f>+E662*(1+C664*F665/365)</f>
        <v>130.00644574396523</v>
      </c>
      <c r="F665" s="32">
        <f t="shared" si="59"/>
        <v>3</v>
      </c>
      <c r="G665" s="20">
        <f t="shared" ca="1" si="60"/>
        <v>0.1404268940014351</v>
      </c>
      <c r="H665" s="20">
        <f t="shared" ca="1" si="56"/>
        <v>0.1408168399738535</v>
      </c>
      <c r="I665" s="20">
        <f t="shared" ca="1" si="55"/>
        <v>0.1410436238258958</v>
      </c>
      <c r="J665" s="20">
        <f t="shared" ca="1" si="57"/>
        <v>0.14229682422046391</v>
      </c>
      <c r="K665" s="36">
        <v>14</v>
      </c>
    </row>
    <row r="666" spans="1:11" x14ac:dyDescent="0.25">
      <c r="A666" s="13" t="s">
        <v>7</v>
      </c>
      <c r="B666" s="29">
        <v>45230</v>
      </c>
      <c r="C666" s="20">
        <v>0.14363899999999999</v>
      </c>
      <c r="D666" s="30">
        <f t="shared" ca="1" si="58"/>
        <v>130.05707452812243</v>
      </c>
      <c r="E666" s="31">
        <f>+E665*(1+C665*F666/365)</f>
        <v>130.05707452812243</v>
      </c>
      <c r="F666" s="32">
        <f t="shared" si="59"/>
        <v>1</v>
      </c>
      <c r="G666" s="20">
        <f t="shared" ca="1" si="60"/>
        <v>0.14073374364181085</v>
      </c>
      <c r="H666" s="20">
        <f t="shared" ca="1" si="56"/>
        <v>0.14089088166399358</v>
      </c>
      <c r="I666" s="20">
        <f t="shared" ca="1" si="55"/>
        <v>0.14112572033249784</v>
      </c>
      <c r="J666" s="20">
        <f t="shared" ca="1" si="57"/>
        <v>0.14236899362832384</v>
      </c>
      <c r="K666" s="36">
        <v>14</v>
      </c>
    </row>
    <row r="667" spans="1:11" x14ac:dyDescent="0.25">
      <c r="A667" s="13" t="s">
        <v>7</v>
      </c>
      <c r="B667" s="29">
        <v>45231</v>
      </c>
      <c r="C667" s="20">
        <v>0.14000000000000001</v>
      </c>
      <c r="D667" s="30">
        <f t="shared" ca="1" si="58"/>
        <v>130.1082560846379</v>
      </c>
      <c r="E667" s="31">
        <f>+E666*(1+C666*F667/365)</f>
        <v>130.1082560846379</v>
      </c>
      <c r="F667" s="32">
        <f t="shared" si="59"/>
        <v>1</v>
      </c>
      <c r="G667" s="20">
        <f t="shared" ca="1" si="60"/>
        <v>0.14125480402203849</v>
      </c>
      <c r="H667" s="20">
        <f t="shared" ca="1" si="56"/>
        <v>0.14101715651809138</v>
      </c>
      <c r="I667" s="20">
        <f t="shared" ca="1" si="55"/>
        <v>0.14122501272994747</v>
      </c>
      <c r="J667" s="20">
        <f t="shared" ca="1" si="57"/>
        <v>0.14245005689843368</v>
      </c>
      <c r="K667" s="36">
        <v>14</v>
      </c>
    </row>
    <row r="668" spans="1:11" x14ac:dyDescent="0.25">
      <c r="A668" s="13" t="s">
        <v>7</v>
      </c>
      <c r="B668" s="29">
        <v>45232</v>
      </c>
      <c r="C668" s="20">
        <v>0.139788</v>
      </c>
      <c r="D668" s="30">
        <f t="shared" ca="1" si="58"/>
        <v>130.15816062121831</v>
      </c>
      <c r="E668" s="31">
        <f>+E667*(1+C667*F668/365)</f>
        <v>130.15816062121831</v>
      </c>
      <c r="F668" s="32">
        <f t="shared" si="59"/>
        <v>1</v>
      </c>
      <c r="G668" s="20">
        <f t="shared" ca="1" si="60"/>
        <v>0.14159831721875088</v>
      </c>
      <c r="H668" s="20">
        <f t="shared" ca="1" si="56"/>
        <v>0.14102258029882128</v>
      </c>
      <c r="I668" s="20">
        <f t="shared" ref="I668:I731" ca="1" si="61">($D668/OFFSET($D668,-90,0)-1)*365/90</f>
        <v>0.14128248161910273</v>
      </c>
      <c r="J668" s="20">
        <f t="shared" ca="1" si="57"/>
        <v>0.14250949402588658</v>
      </c>
      <c r="K668" s="36">
        <v>14</v>
      </c>
    </row>
    <row r="669" spans="1:11" x14ac:dyDescent="0.25">
      <c r="A669" s="13" t="s">
        <v>7</v>
      </c>
      <c r="B669" s="29">
        <v>45233</v>
      </c>
      <c r="C669" s="20">
        <v>0.14031299999999999</v>
      </c>
      <c r="D669" s="30">
        <f t="shared" ca="1" si="58"/>
        <v>130.20800870055234</v>
      </c>
      <c r="E669" s="31">
        <f>+E668*(1+C668*F669/365)</f>
        <v>130.20800870055234</v>
      </c>
      <c r="F669" s="32">
        <f t="shared" si="59"/>
        <v>1</v>
      </c>
      <c r="G669" s="20">
        <f t="shared" ca="1" si="60"/>
        <v>0.14156796090458232</v>
      </c>
      <c r="H669" s="20">
        <f t="shared" ca="1" si="56"/>
        <v>0.14101543446401765</v>
      </c>
      <c r="I669" s="20">
        <f t="shared" ca="1" si="61"/>
        <v>0.14133751458094426</v>
      </c>
      <c r="J669" s="20">
        <f t="shared" ca="1" si="57"/>
        <v>0.14256794779856558</v>
      </c>
      <c r="K669" s="36">
        <v>14</v>
      </c>
    </row>
    <row r="670" spans="1:11" x14ac:dyDescent="0.25">
      <c r="A670" s="23" t="s">
        <v>6</v>
      </c>
      <c r="B670" s="24">
        <v>45234</v>
      </c>
      <c r="C670" s="28">
        <v>0.14031299999999999</v>
      </c>
      <c r="D670" s="25">
        <f t="shared" ca="1" si="58"/>
        <v>130.25806315623672</v>
      </c>
      <c r="E670" s="26">
        <f>+E669*(1+C669*F670/365)</f>
        <v>130.25806315623672</v>
      </c>
      <c r="F670" s="27">
        <f t="shared" si="59"/>
        <v>1</v>
      </c>
      <c r="G670" s="28">
        <f t="shared" ca="1" si="60"/>
        <v>0.14140186108407979</v>
      </c>
      <c r="H670" s="28">
        <f t="shared" ca="1" si="56"/>
        <v>0.14102598467625829</v>
      </c>
      <c r="I670" s="28">
        <f t="shared" ca="1" si="61"/>
        <v>0.14139915637281414</v>
      </c>
      <c r="J670" s="28">
        <f t="shared" ca="1" si="57"/>
        <v>0.14262979869575226</v>
      </c>
      <c r="K670" s="36">
        <v>14</v>
      </c>
    </row>
    <row r="671" spans="1:11" x14ac:dyDescent="0.25">
      <c r="A671" s="23" t="s">
        <v>6</v>
      </c>
      <c r="B671" s="24">
        <v>45235</v>
      </c>
      <c r="C671" s="28">
        <v>0.14031299999999999</v>
      </c>
      <c r="D671" s="25">
        <f t="shared" ca="1" si="58"/>
        <v>130.30811761192112</v>
      </c>
      <c r="E671" s="26">
        <f>+E669*(1+C670*F671/365)</f>
        <v>130.30811761192112</v>
      </c>
      <c r="F671" s="27">
        <f t="shared" si="59"/>
        <v>2</v>
      </c>
      <c r="G671" s="28">
        <f t="shared" ca="1" si="60"/>
        <v>0.14123588992352917</v>
      </c>
      <c r="H671" s="28">
        <f t="shared" ca="1" si="56"/>
        <v>0.14103471748605856</v>
      </c>
      <c r="I671" s="28">
        <f t="shared" ca="1" si="61"/>
        <v>0.1414607526171866</v>
      </c>
      <c r="J671" s="28">
        <f t="shared" ca="1" si="57"/>
        <v>0.14269078078073819</v>
      </c>
      <c r="K671" s="36">
        <v>14</v>
      </c>
    </row>
    <row r="672" spans="1:11" x14ac:dyDescent="0.25">
      <c r="A672" s="13" t="s">
        <v>7</v>
      </c>
      <c r="B672" s="29">
        <v>45236</v>
      </c>
      <c r="C672" s="20">
        <v>0.14071</v>
      </c>
      <c r="D672" s="30">
        <f t="shared" ca="1" si="58"/>
        <v>130.35817206760549</v>
      </c>
      <c r="E672" s="31">
        <f>+E669*(1+C671*F672/365)</f>
        <v>130.35817206760549</v>
      </c>
      <c r="F672" s="32">
        <f t="shared" si="59"/>
        <v>3</v>
      </c>
      <c r="G672" s="20">
        <f t="shared" ca="1" si="60"/>
        <v>0.14107004727346956</v>
      </c>
      <c r="H672" s="20">
        <f t="shared" ref="H672:H735" ca="1" si="62">($D672/OFFSET($D672,-30,0)-1)*365/30</f>
        <v>0.14104163428550176</v>
      </c>
      <c r="I672" s="20">
        <f t="shared" ca="1" si="61"/>
        <v>0.14152058344602497</v>
      </c>
      <c r="J672" s="20">
        <f t="shared" ca="1" si="57"/>
        <v>0.14275171945735093</v>
      </c>
      <c r="K672" s="36">
        <v>14</v>
      </c>
    </row>
    <row r="673" spans="1:11" x14ac:dyDescent="0.25">
      <c r="A673" s="13" t="s">
        <v>7</v>
      </c>
      <c r="B673" s="29">
        <v>45237</v>
      </c>
      <c r="C673" s="20">
        <v>0.14000000000000001</v>
      </c>
      <c r="D673" s="30">
        <f t="shared" ca="1" si="58"/>
        <v>130.40842603580174</v>
      </c>
      <c r="E673" s="31">
        <f>+E672*(1+C672*F673/365)</f>
        <v>130.40842603580174</v>
      </c>
      <c r="F673" s="32">
        <f t="shared" si="59"/>
        <v>1</v>
      </c>
      <c r="G673" s="20">
        <f t="shared" ca="1" si="60"/>
        <v>0.14086485904992649</v>
      </c>
      <c r="H673" s="20">
        <f t="shared" ca="1" si="62"/>
        <v>0.14106737544765832</v>
      </c>
      <c r="I673" s="20">
        <f t="shared" ca="1" si="61"/>
        <v>0.14153235375237933</v>
      </c>
      <c r="J673" s="20">
        <f t="shared" ca="1" si="57"/>
        <v>0.14281190781752151</v>
      </c>
      <c r="K673" s="36">
        <v>14</v>
      </c>
    </row>
    <row r="674" spans="1:11" x14ac:dyDescent="0.25">
      <c r="A674" s="13" t="s">
        <v>7</v>
      </c>
      <c r="B674" s="29">
        <v>45238</v>
      </c>
      <c r="C674" s="20">
        <v>0.14000000000000001</v>
      </c>
      <c r="D674" s="30">
        <f t="shared" ca="1" si="58"/>
        <v>130.45844570606207</v>
      </c>
      <c r="E674" s="31">
        <f>+E673*(1+C673*F674/365)</f>
        <v>130.45844570606207</v>
      </c>
      <c r="F674" s="32">
        <f t="shared" si="59"/>
        <v>1</v>
      </c>
      <c r="G674" s="20">
        <f t="shared" ca="1" si="60"/>
        <v>0.14034380255586804</v>
      </c>
      <c r="H674" s="20">
        <f t="shared" ca="1" si="62"/>
        <v>0.14107099270154824</v>
      </c>
      <c r="I674" s="20">
        <f t="shared" ca="1" si="61"/>
        <v>0.14154807823551249</v>
      </c>
      <c r="J674" s="20">
        <f t="shared" ca="1" si="57"/>
        <v>0.14284928773478106</v>
      </c>
      <c r="K674" s="36">
        <v>14</v>
      </c>
    </row>
    <row r="675" spans="1:11" x14ac:dyDescent="0.25">
      <c r="A675" s="13" t="s">
        <v>7</v>
      </c>
      <c r="B675" s="29">
        <v>45239</v>
      </c>
      <c r="C675" s="20">
        <v>0.14000000000000001</v>
      </c>
      <c r="D675" s="30">
        <f t="shared" ca="1" si="58"/>
        <v>130.50848456194933</v>
      </c>
      <c r="E675" s="31">
        <f>+E674*(1+C674*F675/365)</f>
        <v>130.50848456194933</v>
      </c>
      <c r="F675" s="32">
        <f t="shared" si="59"/>
        <v>1</v>
      </c>
      <c r="G675" s="20">
        <f t="shared" ca="1" si="60"/>
        <v>0.14034380255587961</v>
      </c>
      <c r="H675" s="20">
        <f t="shared" ca="1" si="62"/>
        <v>0.14107099270154555</v>
      </c>
      <c r="I675" s="20">
        <f t="shared" ca="1" si="61"/>
        <v>0.14159309120067859</v>
      </c>
      <c r="J675" s="20">
        <f t="shared" ca="1" si="57"/>
        <v>0.14288355319984028</v>
      </c>
      <c r="K675" s="36">
        <v>14</v>
      </c>
    </row>
    <row r="676" spans="1:11" x14ac:dyDescent="0.25">
      <c r="A676" s="13" t="s">
        <v>7</v>
      </c>
      <c r="B676" s="29">
        <v>45240</v>
      </c>
      <c r="C676" s="20">
        <v>0.141568</v>
      </c>
      <c r="D676" s="30">
        <f t="shared" ca="1" si="58"/>
        <v>130.55854261082243</v>
      </c>
      <c r="E676" s="31">
        <f>+E675*(1+C675*F676/365)</f>
        <v>130.55854261082243</v>
      </c>
      <c r="F676" s="32">
        <f t="shared" si="59"/>
        <v>1</v>
      </c>
      <c r="G676" s="20">
        <f t="shared" ca="1" si="60"/>
        <v>0.14037415815930701</v>
      </c>
      <c r="H676" s="20">
        <f t="shared" ca="1" si="62"/>
        <v>0.14107099270154824</v>
      </c>
      <c r="I676" s="20">
        <f t="shared" ca="1" si="61"/>
        <v>0.14164658788352913</v>
      </c>
      <c r="J676" s="20">
        <f t="shared" ca="1" si="57"/>
        <v>0.14291811258674167</v>
      </c>
      <c r="K676" s="36">
        <v>14</v>
      </c>
    </row>
    <row r="677" spans="1:11" x14ac:dyDescent="0.25">
      <c r="A677" s="23" t="s">
        <v>6</v>
      </c>
      <c r="B677" s="24">
        <v>45241</v>
      </c>
      <c r="C677" s="28">
        <v>0.141568</v>
      </c>
      <c r="D677" s="25">
        <f t="shared" ca="1" si="58"/>
        <v>130.6091807252343</v>
      </c>
      <c r="E677" s="26">
        <f>+E676*(1+C676*F677/365)</f>
        <v>130.6091807252343</v>
      </c>
      <c r="F677" s="27">
        <f t="shared" si="59"/>
        <v>1</v>
      </c>
      <c r="G677" s="28">
        <f t="shared" ca="1" si="60"/>
        <v>0.14055385745010435</v>
      </c>
      <c r="H677" s="28">
        <f t="shared" ca="1" si="62"/>
        <v>0.14112384512157791</v>
      </c>
      <c r="I677" s="28">
        <f t="shared" ca="1" si="61"/>
        <v>0.14171868598583112</v>
      </c>
      <c r="J677" s="28">
        <f t="shared" ca="1" si="57"/>
        <v>0.14296228733986724</v>
      </c>
      <c r="K677" s="36">
        <v>14</v>
      </c>
    </row>
    <row r="678" spans="1:11" x14ac:dyDescent="0.25">
      <c r="A678" s="23" t="s">
        <v>6</v>
      </c>
      <c r="B678" s="24">
        <v>45242</v>
      </c>
      <c r="C678" s="28">
        <v>0.141568</v>
      </c>
      <c r="D678" s="25">
        <f t="shared" ca="1" si="58"/>
        <v>130.65981883964614</v>
      </c>
      <c r="E678" s="26">
        <f>+E676*(1+C677*F678/365)</f>
        <v>130.65981883964614</v>
      </c>
      <c r="F678" s="27">
        <f t="shared" si="59"/>
        <v>2</v>
      </c>
      <c r="G678" s="28">
        <f t="shared" ca="1" si="60"/>
        <v>0.14073341868730374</v>
      </c>
      <c r="H678" s="28">
        <f t="shared" ca="1" si="62"/>
        <v>0.14117484769242913</v>
      </c>
      <c r="I678" s="28">
        <f t="shared" ca="1" si="61"/>
        <v>0.14179073067801451</v>
      </c>
      <c r="J678" s="28">
        <f t="shared" ca="1" si="57"/>
        <v>0.14300100801987867</v>
      </c>
      <c r="K678" s="36">
        <v>14</v>
      </c>
    </row>
    <row r="679" spans="1:11" x14ac:dyDescent="0.25">
      <c r="A679" s="13" t="s">
        <v>7</v>
      </c>
      <c r="B679" s="29">
        <v>45243</v>
      </c>
      <c r="C679" s="20">
        <v>0.14000000000000001</v>
      </c>
      <c r="D679" s="30">
        <f t="shared" ca="1" si="58"/>
        <v>130.710456954058</v>
      </c>
      <c r="E679" s="31">
        <f>+E676*(1+C678*F679/365)</f>
        <v>130.710456954058</v>
      </c>
      <c r="F679" s="32">
        <f t="shared" si="59"/>
        <v>3</v>
      </c>
      <c r="G679" s="20">
        <f t="shared" ca="1" si="60"/>
        <v>0.1409128420299875</v>
      </c>
      <c r="H679" s="20">
        <f t="shared" ca="1" si="62"/>
        <v>0.14122400182485831</v>
      </c>
      <c r="I679" s="20">
        <f t="shared" ca="1" si="61"/>
        <v>0.14183542728412676</v>
      </c>
      <c r="J679" s="20">
        <f t="shared" ca="1" si="57"/>
        <v>0.1430394033330207</v>
      </c>
      <c r="K679" s="36">
        <v>14</v>
      </c>
    </row>
    <row r="680" spans="1:11" x14ac:dyDescent="0.25">
      <c r="A680" s="13" t="s">
        <v>7</v>
      </c>
      <c r="B680" s="29">
        <v>45244</v>
      </c>
      <c r="C680" s="20">
        <v>0.14000000000000001</v>
      </c>
      <c r="D680" s="30">
        <f t="shared" ca="1" si="58"/>
        <v>130.76059247179381</v>
      </c>
      <c r="E680" s="31">
        <f>+E679*(1+C679*F680/365)</f>
        <v>130.76059247179381</v>
      </c>
      <c r="F680" s="32">
        <f t="shared" si="59"/>
        <v>1</v>
      </c>
      <c r="G680" s="20">
        <f t="shared" ca="1" si="60"/>
        <v>0.14081117854610414</v>
      </c>
      <c r="H680" s="20">
        <f t="shared" ca="1" si="62"/>
        <v>0.14122581116801605</v>
      </c>
      <c r="I680" s="20">
        <f t="shared" ca="1" si="61"/>
        <v>0.14188596119689423</v>
      </c>
      <c r="J680" s="20">
        <f t="shared" ca="1" si="57"/>
        <v>0.14306912956004761</v>
      </c>
      <c r="K680" s="36">
        <v>14</v>
      </c>
    </row>
    <row r="681" spans="1:11" x14ac:dyDescent="0.25">
      <c r="A681" s="13" t="s">
        <v>7</v>
      </c>
      <c r="B681" s="29">
        <v>45245</v>
      </c>
      <c r="C681" s="20">
        <v>0.14000000000000001</v>
      </c>
      <c r="D681" s="30">
        <f t="shared" ca="1" si="58"/>
        <v>130.81074721959124</v>
      </c>
      <c r="E681" s="31">
        <f>+E680*(1+C680*F681/365)</f>
        <v>130.81074721959124</v>
      </c>
      <c r="F681" s="32">
        <f t="shared" si="59"/>
        <v>1</v>
      </c>
      <c r="G681" s="20">
        <f t="shared" ca="1" si="60"/>
        <v>0.14081117854610414</v>
      </c>
      <c r="H681" s="20">
        <f t="shared" ca="1" si="62"/>
        <v>0.14122942846847245</v>
      </c>
      <c r="I681" s="20">
        <f t="shared" ca="1" si="61"/>
        <v>0.14192933390459031</v>
      </c>
      <c r="J681" s="20">
        <f t="shared" ca="1" si="57"/>
        <v>0.14309885619413351</v>
      </c>
      <c r="K681" s="36">
        <v>14</v>
      </c>
    </row>
    <row r="682" spans="1:11" x14ac:dyDescent="0.25">
      <c r="A682" s="13" t="s">
        <v>7</v>
      </c>
      <c r="B682" s="29">
        <v>45246</v>
      </c>
      <c r="C682" s="20">
        <v>0.14000000000000001</v>
      </c>
      <c r="D682" s="30">
        <f t="shared" ca="1" si="58"/>
        <v>130.86092120482616</v>
      </c>
      <c r="E682" s="31">
        <f>+E681*(1+C681*F682/365)</f>
        <v>130.86092120482616</v>
      </c>
      <c r="F682" s="32">
        <f t="shared" si="59"/>
        <v>1</v>
      </c>
      <c r="G682" s="20">
        <f t="shared" ca="1" si="60"/>
        <v>0.14081117854610414</v>
      </c>
      <c r="H682" s="20">
        <f t="shared" ca="1" si="62"/>
        <v>0.14122942846847245</v>
      </c>
      <c r="I682" s="20">
        <f t="shared" ca="1" si="61"/>
        <v>0.14194526679646685</v>
      </c>
      <c r="J682" s="20">
        <f t="shared" ca="1" si="57"/>
        <v>0.14312858323528249</v>
      </c>
      <c r="K682" s="36">
        <v>14</v>
      </c>
    </row>
    <row r="683" spans="1:11" x14ac:dyDescent="0.25">
      <c r="A683" s="13" t="s">
        <v>7</v>
      </c>
      <c r="B683" s="29">
        <v>45247</v>
      </c>
      <c r="C683" s="20">
        <v>0.14000000000000001</v>
      </c>
      <c r="D683" s="30">
        <f t="shared" ca="1" si="58"/>
        <v>130.91111443487733</v>
      </c>
      <c r="E683" s="31">
        <f>+E682*(1+C682*F683/365)</f>
        <v>130.91111443487733</v>
      </c>
      <c r="F683" s="32">
        <f t="shared" si="59"/>
        <v>1</v>
      </c>
      <c r="G683" s="20">
        <f t="shared" ca="1" si="60"/>
        <v>0.14081117854610414</v>
      </c>
      <c r="H683" s="20">
        <f t="shared" ca="1" si="62"/>
        <v>0.14122942846847245</v>
      </c>
      <c r="I683" s="20">
        <f t="shared" ca="1" si="61"/>
        <v>0.1419992163077351</v>
      </c>
      <c r="J683" s="20">
        <f t="shared" ca="1" si="57"/>
        <v>0.14315860744510156</v>
      </c>
      <c r="K683" s="36">
        <v>14</v>
      </c>
    </row>
    <row r="684" spans="1:11" x14ac:dyDescent="0.25">
      <c r="A684" s="23" t="s">
        <v>6</v>
      </c>
      <c r="B684" s="24">
        <v>45248</v>
      </c>
      <c r="C684" s="28">
        <v>0.14000000000000001</v>
      </c>
      <c r="D684" s="25">
        <f t="shared" ca="1" si="58"/>
        <v>130.96132691712634</v>
      </c>
      <c r="E684" s="26">
        <f>+E683*(1+C683*F684/365)</f>
        <v>130.96132691712634</v>
      </c>
      <c r="F684" s="27">
        <f t="shared" si="59"/>
        <v>1</v>
      </c>
      <c r="G684" s="28">
        <f t="shared" ca="1" si="60"/>
        <v>0.14058666071764664</v>
      </c>
      <c r="H684" s="28">
        <f t="shared" ca="1" si="62"/>
        <v>0.14122942846847245</v>
      </c>
      <c r="I684" s="28">
        <f t="shared" ca="1" si="61"/>
        <v>0.14205374292688772</v>
      </c>
      <c r="J684" s="28">
        <f t="shared" ca="1" si="57"/>
        <v>0.14318892861658822</v>
      </c>
      <c r="K684" s="36">
        <v>14</v>
      </c>
    </row>
    <row r="685" spans="1:11" x14ac:dyDescent="0.25">
      <c r="A685" s="23" t="s">
        <v>6</v>
      </c>
      <c r="B685" s="24">
        <v>45249</v>
      </c>
      <c r="C685" s="28">
        <v>0.14000000000000001</v>
      </c>
      <c r="D685" s="25">
        <f t="shared" ca="1" si="58"/>
        <v>131.01153939937532</v>
      </c>
      <c r="E685" s="26">
        <f>+E683*(1+C684*F685/365)</f>
        <v>131.01153939937532</v>
      </c>
      <c r="F685" s="27">
        <f t="shared" si="59"/>
        <v>2</v>
      </c>
      <c r="G685" s="28">
        <f t="shared" ca="1" si="60"/>
        <v>0.14036231691605869</v>
      </c>
      <c r="H685" s="28">
        <f t="shared" ca="1" si="62"/>
        <v>0.14122761912478257</v>
      </c>
      <c r="I685" s="28">
        <f t="shared" ca="1" si="61"/>
        <v>0.14210822916446433</v>
      </c>
      <c r="J685" s="28">
        <f t="shared" ca="1" si="57"/>
        <v>0.1432183377400395</v>
      </c>
      <c r="K685" s="36">
        <v>14</v>
      </c>
    </row>
    <row r="686" spans="1:11" x14ac:dyDescent="0.25">
      <c r="A686" s="13" t="s">
        <v>7</v>
      </c>
      <c r="B686" s="29">
        <v>45250</v>
      </c>
      <c r="C686" s="20">
        <v>0.14000000000000001</v>
      </c>
      <c r="D686" s="30">
        <f t="shared" ca="1" si="58"/>
        <v>131.0617518816243</v>
      </c>
      <c r="E686" s="31">
        <f>+E683*(1+C685*F686/365)</f>
        <v>131.0617518816243</v>
      </c>
      <c r="F686" s="32">
        <f t="shared" si="59"/>
        <v>3</v>
      </c>
      <c r="G686" s="20">
        <f t="shared" ca="1" si="60"/>
        <v>0.1401381469390604</v>
      </c>
      <c r="H686" s="20">
        <f t="shared" ca="1" si="62"/>
        <v>0.14122400182485562</v>
      </c>
      <c r="I686" s="20">
        <f t="shared" ca="1" si="61"/>
        <v>0.1421644764343806</v>
      </c>
      <c r="J686" s="20">
        <f t="shared" ca="1" si="57"/>
        <v>0.14324742835109394</v>
      </c>
      <c r="K686" s="36">
        <v>14</v>
      </c>
    </row>
    <row r="687" spans="1:11" x14ac:dyDescent="0.25">
      <c r="A687" s="13" t="s">
        <v>7</v>
      </c>
      <c r="B687" s="29">
        <v>45251</v>
      </c>
      <c r="C687" s="20">
        <v>0.14000000000000001</v>
      </c>
      <c r="D687" s="30">
        <f t="shared" ca="1" si="58"/>
        <v>131.11202214261999</v>
      </c>
      <c r="E687" s="31">
        <f>+E686*(1+C686*F687/365)</f>
        <v>131.11202214261999</v>
      </c>
      <c r="F687" s="32">
        <f t="shared" si="59"/>
        <v>1</v>
      </c>
      <c r="G687" s="20">
        <f t="shared" ca="1" si="60"/>
        <v>0.1401381469390604</v>
      </c>
      <c r="H687" s="20">
        <f t="shared" ca="1" si="62"/>
        <v>0.14122581116801874</v>
      </c>
      <c r="I687" s="20">
        <f t="shared" ca="1" si="61"/>
        <v>0.14220861078458805</v>
      </c>
      <c r="J687" s="20">
        <f t="shared" ca="1" si="57"/>
        <v>0.14327715742672517</v>
      </c>
      <c r="K687" s="36">
        <v>14</v>
      </c>
    </row>
    <row r="688" spans="1:11" x14ac:dyDescent="0.25">
      <c r="A688" s="13" t="s">
        <v>7</v>
      </c>
      <c r="B688" s="29">
        <v>45252</v>
      </c>
      <c r="C688" s="20">
        <v>0.14000000000000001</v>
      </c>
      <c r="D688" s="30">
        <f t="shared" ca="1" si="58"/>
        <v>131.16231168535964</v>
      </c>
      <c r="E688" s="31">
        <f>+E687*(1+C687*F688/365)</f>
        <v>131.16231168535964</v>
      </c>
      <c r="F688" s="32">
        <f t="shared" si="59"/>
        <v>1</v>
      </c>
      <c r="G688" s="20">
        <f t="shared" ca="1" si="60"/>
        <v>0.1401381469390604</v>
      </c>
      <c r="H688" s="20">
        <f t="shared" ca="1" si="62"/>
        <v>0.14122942846846975</v>
      </c>
      <c r="I688" s="20">
        <f t="shared" ca="1" si="61"/>
        <v>0.14226609314270761</v>
      </c>
      <c r="J688" s="20">
        <f t="shared" ca="1" si="57"/>
        <v>0.14329693933389503</v>
      </c>
      <c r="K688" s="36">
        <v>14</v>
      </c>
    </row>
    <row r="689" spans="1:11" x14ac:dyDescent="0.25">
      <c r="A689" s="13" t="s">
        <v>7</v>
      </c>
      <c r="B689" s="29">
        <v>45253</v>
      </c>
      <c r="C689" s="20">
        <v>0.14000000000000001</v>
      </c>
      <c r="D689" s="30">
        <f t="shared" ca="1" si="58"/>
        <v>131.21262051723897</v>
      </c>
      <c r="E689" s="31">
        <f>+E688*(1+C688*F689/365)</f>
        <v>131.21262051723897</v>
      </c>
      <c r="F689" s="32">
        <f t="shared" si="59"/>
        <v>1</v>
      </c>
      <c r="G689" s="20">
        <f t="shared" ca="1" si="60"/>
        <v>0.1401381469390604</v>
      </c>
      <c r="H689" s="20">
        <f t="shared" ca="1" si="62"/>
        <v>0.14122942846846975</v>
      </c>
      <c r="I689" s="20">
        <f t="shared" ca="1" si="61"/>
        <v>0.14232357628796583</v>
      </c>
      <c r="J689" s="20">
        <f t="shared" ca="1" si="57"/>
        <v>0.14333278162576155</v>
      </c>
      <c r="K689" s="36">
        <v>14</v>
      </c>
    </row>
    <row r="690" spans="1:11" x14ac:dyDescent="0.25">
      <c r="A690" s="13" t="s">
        <v>7</v>
      </c>
      <c r="B690" s="29">
        <v>45254</v>
      </c>
      <c r="C690" s="20">
        <v>0.14000000000000001</v>
      </c>
      <c r="D690" s="30">
        <f t="shared" ca="1" si="58"/>
        <v>131.26294864565656</v>
      </c>
      <c r="E690" s="31">
        <f>+E689*(1+C689*F690/365)</f>
        <v>131.26294864565656</v>
      </c>
      <c r="F690" s="32">
        <f t="shared" si="59"/>
        <v>1</v>
      </c>
      <c r="G690" s="20">
        <f t="shared" ca="1" si="60"/>
        <v>0.1401381469390604</v>
      </c>
      <c r="H690" s="20">
        <f t="shared" ca="1" si="62"/>
        <v>0.14122942846847245</v>
      </c>
      <c r="I690" s="20">
        <f t="shared" ca="1" si="61"/>
        <v>0.14237657641703497</v>
      </c>
      <c r="J690" s="20">
        <f t="shared" ca="1" si="57"/>
        <v>0.14336891679854782</v>
      </c>
      <c r="K690" s="36">
        <v>14</v>
      </c>
    </row>
    <row r="691" spans="1:11" x14ac:dyDescent="0.25">
      <c r="A691" s="23" t="s">
        <v>6</v>
      </c>
      <c r="B691" s="24">
        <v>45255</v>
      </c>
      <c r="C691" s="28">
        <v>0.14000000000000001</v>
      </c>
      <c r="D691" s="25">
        <f t="shared" ca="1" si="58"/>
        <v>131.31329607801382</v>
      </c>
      <c r="E691" s="26">
        <f>+E690*(1+C690*F691/365)</f>
        <v>131.31329607801382</v>
      </c>
      <c r="F691" s="27">
        <f t="shared" si="59"/>
        <v>1</v>
      </c>
      <c r="G691" s="28">
        <f t="shared" ca="1" si="60"/>
        <v>0.1401381469390604</v>
      </c>
      <c r="H691" s="28">
        <f t="shared" ca="1" si="62"/>
        <v>0.14131029289506686</v>
      </c>
      <c r="I691" s="28">
        <f t="shared" ca="1" si="61"/>
        <v>0.14243015438861442</v>
      </c>
      <c r="J691" s="28">
        <f t="shared" ca="1" si="57"/>
        <v>0.143405344652482</v>
      </c>
      <c r="K691" s="36">
        <v>14</v>
      </c>
    </row>
    <row r="692" spans="1:11" x14ac:dyDescent="0.25">
      <c r="A692" s="23" t="s">
        <v>6</v>
      </c>
      <c r="B692" s="24">
        <v>45256</v>
      </c>
      <c r="C692" s="28">
        <v>0.14000000000000001</v>
      </c>
      <c r="D692" s="25">
        <f t="shared" ca="1" si="58"/>
        <v>131.36364351037102</v>
      </c>
      <c r="E692" s="26">
        <f>+E690*(1+C691*F692/365)</f>
        <v>131.36364351037102</v>
      </c>
      <c r="F692" s="27">
        <f t="shared" si="59"/>
        <v>2</v>
      </c>
      <c r="G692" s="28">
        <f t="shared" ca="1" si="60"/>
        <v>0.14013814693904883</v>
      </c>
      <c r="H692" s="28">
        <f t="shared" ca="1" si="62"/>
        <v>0.14130848353948477</v>
      </c>
      <c r="I692" s="28">
        <f t="shared" ca="1" si="61"/>
        <v>0.14248369265685734</v>
      </c>
      <c r="J692" s="28">
        <f t="shared" ca="1" si="57"/>
        <v>0.14343475670762493</v>
      </c>
      <c r="K692" s="36">
        <v>14</v>
      </c>
    </row>
    <row r="693" spans="1:11" x14ac:dyDescent="0.25">
      <c r="A693" s="13" t="s">
        <v>7</v>
      </c>
      <c r="B693" s="29">
        <v>45257</v>
      </c>
      <c r="C693" s="20">
        <v>0.14000000000000001</v>
      </c>
      <c r="D693" s="30">
        <f t="shared" ca="1" si="58"/>
        <v>131.41399094272828</v>
      </c>
      <c r="E693" s="31">
        <f>+E690*(1+C692*F693/365)</f>
        <v>131.41399094272828</v>
      </c>
      <c r="F693" s="32">
        <f t="shared" si="59"/>
        <v>3</v>
      </c>
      <c r="G693" s="20">
        <f t="shared" ca="1" si="60"/>
        <v>0.14013814693907198</v>
      </c>
      <c r="H693" s="20">
        <f t="shared" ca="1" si="62"/>
        <v>0.14125521520815046</v>
      </c>
      <c r="I693" s="20">
        <f t="shared" ca="1" si="61"/>
        <v>0.14250875280024944</v>
      </c>
      <c r="J693" s="20">
        <f t="shared" ca="1" si="57"/>
        <v>0.14346841706944996</v>
      </c>
      <c r="K693" s="36">
        <v>14</v>
      </c>
    </row>
    <row r="694" spans="1:11" x14ac:dyDescent="0.25">
      <c r="A694" s="13" t="s">
        <v>7</v>
      </c>
      <c r="B694" s="29">
        <v>45258</v>
      </c>
      <c r="C694" s="20">
        <v>0.14000000000000001</v>
      </c>
      <c r="D694" s="30">
        <f t="shared" ca="1" si="58"/>
        <v>131.46439630911726</v>
      </c>
      <c r="E694" s="31">
        <f>+E693*(1+C693*F694/365)</f>
        <v>131.46439630911726</v>
      </c>
      <c r="F694" s="32">
        <f t="shared" si="59"/>
        <v>1</v>
      </c>
      <c r="G694" s="20">
        <f t="shared" ca="1" si="60"/>
        <v>0.1401381469390604</v>
      </c>
      <c r="H694" s="20">
        <f t="shared" ca="1" si="62"/>
        <v>0.14120741200033451</v>
      </c>
      <c r="I694" s="20">
        <f t="shared" ca="1" si="61"/>
        <v>0.14252500981377642</v>
      </c>
      <c r="J694" s="20">
        <f t="shared" ref="J694:J757" ca="1" si="63">($D694/OFFSET($D694,-180,0)-1)*365/180</f>
        <v>0.14341145858312945</v>
      </c>
      <c r="K694" s="36">
        <v>14</v>
      </c>
    </row>
    <row r="695" spans="1:11" x14ac:dyDescent="0.25">
      <c r="A695" s="13" t="s">
        <v>7</v>
      </c>
      <c r="B695" s="29">
        <v>45259</v>
      </c>
      <c r="C695" s="20">
        <v>0.13971</v>
      </c>
      <c r="D695" s="30">
        <f t="shared" ca="1" si="58"/>
        <v>131.51482100907145</v>
      </c>
      <c r="E695" s="31">
        <f>+E694*(1+C694*F695/365)</f>
        <v>131.51482100907145</v>
      </c>
      <c r="F695" s="32">
        <f t="shared" si="59"/>
        <v>1</v>
      </c>
      <c r="G695" s="20">
        <f t="shared" ca="1" si="60"/>
        <v>0.1401381469390604</v>
      </c>
      <c r="H695" s="20">
        <f t="shared" ca="1" si="62"/>
        <v>0.14116145513996009</v>
      </c>
      <c r="I695" s="20">
        <f t="shared" ca="1" si="61"/>
        <v>0.14253582868870884</v>
      </c>
      <c r="J695" s="20">
        <f t="shared" ca="1" si="63"/>
        <v>0.14346411330993444</v>
      </c>
      <c r="K695" s="36">
        <v>14</v>
      </c>
    </row>
    <row r="696" spans="1:11" x14ac:dyDescent="0.25">
      <c r="A696" s="13" t="s">
        <v>7</v>
      </c>
      <c r="B696" s="29">
        <v>45260</v>
      </c>
      <c r="C696" s="20">
        <v>0.151088</v>
      </c>
      <c r="D696" s="30">
        <f t="shared" ca="1" si="58"/>
        <v>131.56516055877879</v>
      </c>
      <c r="E696" s="31">
        <f>+E695*(1+C695*F696/365)</f>
        <v>131.56516055877879</v>
      </c>
      <c r="F696" s="32">
        <f t="shared" si="59"/>
        <v>1</v>
      </c>
      <c r="G696" s="20">
        <f t="shared" ca="1" si="60"/>
        <v>0.14009662295200367</v>
      </c>
      <c r="H696" s="20">
        <f t="shared" ca="1" si="62"/>
        <v>0.14107944612951434</v>
      </c>
      <c r="I696" s="20">
        <f t="shared" ca="1" si="61"/>
        <v>0.1425324944977085</v>
      </c>
      <c r="J696" s="20">
        <f t="shared" ca="1" si="63"/>
        <v>0.14350776026317644</v>
      </c>
      <c r="K696" s="36">
        <v>14</v>
      </c>
    </row>
    <row r="697" spans="1:11" x14ac:dyDescent="0.25">
      <c r="A697" s="13" t="s">
        <v>7</v>
      </c>
      <c r="B697" s="29">
        <v>45261</v>
      </c>
      <c r="C697" s="20">
        <v>0.14000000000000001</v>
      </c>
      <c r="D697" s="30">
        <f t="shared" ca="1" si="58"/>
        <v>131.61962060529524</v>
      </c>
      <c r="E697" s="31">
        <f>+E696*(1+C696*F697/365)</f>
        <v>131.61962060529524</v>
      </c>
      <c r="F697" s="32">
        <f t="shared" si="59"/>
        <v>1</v>
      </c>
      <c r="G697" s="20">
        <f t="shared" ca="1" si="60"/>
        <v>0.14168426985825813</v>
      </c>
      <c r="H697" s="20">
        <f t="shared" ca="1" si="62"/>
        <v>0.14133052650173294</v>
      </c>
      <c r="I697" s="20">
        <f t="shared" ca="1" si="61"/>
        <v>0.14266059263080622</v>
      </c>
      <c r="J697" s="20">
        <f t="shared" ca="1" si="63"/>
        <v>0.14361935355407845</v>
      </c>
      <c r="K697" s="36">
        <v>14</v>
      </c>
    </row>
    <row r="698" spans="1:11" x14ac:dyDescent="0.25">
      <c r="A698" s="23" t="s">
        <v>6</v>
      </c>
      <c r="B698" s="24">
        <v>45262</v>
      </c>
      <c r="C698" s="28">
        <v>0.14000000000000001</v>
      </c>
      <c r="D698" s="25">
        <f t="shared" ca="1" si="58"/>
        <v>131.67010484333562</v>
      </c>
      <c r="E698" s="26">
        <f>+E697*(1+C697*F698/365)</f>
        <v>131.67010484333562</v>
      </c>
      <c r="F698" s="27">
        <f t="shared" si="59"/>
        <v>1</v>
      </c>
      <c r="G698" s="28">
        <f t="shared" ca="1" si="60"/>
        <v>0.14168426985825813</v>
      </c>
      <c r="H698" s="28">
        <f t="shared" ca="1" si="62"/>
        <v>0.14133052650173294</v>
      </c>
      <c r="I698" s="28">
        <f t="shared" ca="1" si="61"/>
        <v>0.14266182649023357</v>
      </c>
      <c r="J698" s="28">
        <f t="shared" ca="1" si="63"/>
        <v>0.14366529877980949</v>
      </c>
      <c r="K698" s="36">
        <v>14</v>
      </c>
    </row>
    <row r="699" spans="1:11" x14ac:dyDescent="0.25">
      <c r="A699" s="23" t="s">
        <v>6</v>
      </c>
      <c r="B699" s="24">
        <v>45263</v>
      </c>
      <c r="C699" s="28">
        <v>0.14000000000000001</v>
      </c>
      <c r="D699" s="25">
        <f t="shared" ca="1" si="58"/>
        <v>131.720589081376</v>
      </c>
      <c r="E699" s="26">
        <f>+E697*(1+C698*F699/365)</f>
        <v>131.720589081376</v>
      </c>
      <c r="F699" s="27">
        <f t="shared" si="59"/>
        <v>2</v>
      </c>
      <c r="G699" s="28">
        <f t="shared" ca="1" si="60"/>
        <v>0.14168426985826971</v>
      </c>
      <c r="H699" s="28">
        <f t="shared" ca="1" si="62"/>
        <v>0.14133586315987492</v>
      </c>
      <c r="I699" s="28">
        <f t="shared" ca="1" si="61"/>
        <v>0.14266305940459018</v>
      </c>
      <c r="J699" s="28">
        <f t="shared" ca="1" si="63"/>
        <v>0.14370868999065198</v>
      </c>
      <c r="K699" s="36">
        <v>14</v>
      </c>
    </row>
    <row r="700" spans="1:11" x14ac:dyDescent="0.25">
      <c r="A700" s="13" t="s">
        <v>7</v>
      </c>
      <c r="B700" s="29">
        <v>45264</v>
      </c>
      <c r="C700" s="20">
        <v>0.14000000000000001</v>
      </c>
      <c r="D700" s="30">
        <f t="shared" ca="1" si="58"/>
        <v>131.77107331941639</v>
      </c>
      <c r="E700" s="31">
        <f>+E697*(1+C699*F700/365)</f>
        <v>131.77107331941639</v>
      </c>
      <c r="F700" s="32">
        <f t="shared" si="59"/>
        <v>3</v>
      </c>
      <c r="G700" s="20">
        <f t="shared" ca="1" si="60"/>
        <v>0.14168426985825813</v>
      </c>
      <c r="H700" s="20">
        <f t="shared" ca="1" si="62"/>
        <v>0.14132169535337155</v>
      </c>
      <c r="I700" s="20">
        <f t="shared" ca="1" si="61"/>
        <v>0.142661825544799</v>
      </c>
      <c r="J700" s="20">
        <f t="shared" ca="1" si="63"/>
        <v>0.14373814994896322</v>
      </c>
      <c r="K700" s="36">
        <v>14</v>
      </c>
    </row>
    <row r="701" spans="1:11" x14ac:dyDescent="0.25">
      <c r="A701" s="13" t="s">
        <v>7</v>
      </c>
      <c r="B701" s="29">
        <v>45265</v>
      </c>
      <c r="C701" s="20">
        <v>0.14000000000000001</v>
      </c>
      <c r="D701" s="30">
        <f t="shared" ca="1" si="58"/>
        <v>131.82161564890879</v>
      </c>
      <c r="E701" s="31">
        <f>+E700*(1+C700*F701/365)</f>
        <v>131.82161564890879</v>
      </c>
      <c r="F701" s="32">
        <f t="shared" si="59"/>
        <v>1</v>
      </c>
      <c r="G701" s="20">
        <f t="shared" ca="1" si="60"/>
        <v>0.14168426985826971</v>
      </c>
      <c r="H701" s="20">
        <f t="shared" ca="1" si="62"/>
        <v>0.14131296233995064</v>
      </c>
      <c r="I701" s="20">
        <f t="shared" ca="1" si="61"/>
        <v>0.142661825544799</v>
      </c>
      <c r="J701" s="20">
        <f t="shared" ca="1" si="63"/>
        <v>0.14376935471372274</v>
      </c>
      <c r="K701" s="36">
        <v>14</v>
      </c>
    </row>
    <row r="702" spans="1:11" x14ac:dyDescent="0.25">
      <c r="A702" s="13" t="s">
        <v>7</v>
      </c>
      <c r="B702" s="29">
        <v>45266</v>
      </c>
      <c r="C702" s="20">
        <v>0.14000000000000001</v>
      </c>
      <c r="D702" s="30">
        <f t="shared" ca="1" si="58"/>
        <v>131.87217736450017</v>
      </c>
      <c r="E702" s="31">
        <f>+E701*(1+C701*F702/365)</f>
        <v>131.87217736450017</v>
      </c>
      <c r="F702" s="32">
        <f t="shared" si="59"/>
        <v>1</v>
      </c>
      <c r="G702" s="20">
        <f t="shared" ca="1" si="60"/>
        <v>0.14168426985826971</v>
      </c>
      <c r="H702" s="20">
        <f t="shared" ca="1" si="62"/>
        <v>0.14130604538802696</v>
      </c>
      <c r="I702" s="20">
        <f t="shared" ca="1" si="61"/>
        <v>0.14267037974345215</v>
      </c>
      <c r="J702" s="20">
        <f t="shared" ca="1" si="63"/>
        <v>0.14380854127848264</v>
      </c>
      <c r="K702" s="36">
        <v>14</v>
      </c>
    </row>
    <row r="703" spans="1:11" x14ac:dyDescent="0.25">
      <c r="A703" s="13" t="s">
        <v>7</v>
      </c>
      <c r="B703" s="29">
        <v>45267</v>
      </c>
      <c r="C703" s="20">
        <v>0.140072</v>
      </c>
      <c r="D703" s="30">
        <f t="shared" ca="1" si="58"/>
        <v>131.92275847362629</v>
      </c>
      <c r="E703" s="31">
        <f>+E702*(1+C702*F703/365)</f>
        <v>131.92275847362629</v>
      </c>
      <c r="F703" s="32">
        <f t="shared" si="59"/>
        <v>1</v>
      </c>
      <c r="G703" s="20">
        <f t="shared" ca="1" si="60"/>
        <v>0.14172579510626765</v>
      </c>
      <c r="H703" s="20">
        <f t="shared" ca="1" si="62"/>
        <v>0.14128211307813621</v>
      </c>
      <c r="I703" s="20">
        <f t="shared" ca="1" si="61"/>
        <v>0.14267037974345215</v>
      </c>
      <c r="J703" s="20">
        <f t="shared" ca="1" si="63"/>
        <v>0.14384489755118401</v>
      </c>
      <c r="K703" s="36">
        <v>14</v>
      </c>
    </row>
    <row r="704" spans="1:11" x14ac:dyDescent="0.25">
      <c r="A704" s="23" t="s">
        <v>6</v>
      </c>
      <c r="B704" s="24">
        <v>45268</v>
      </c>
      <c r="C704" s="28">
        <v>0.140072</v>
      </c>
      <c r="D704" s="25">
        <f t="shared" ca="1" si="58"/>
        <v>131.97338500684523</v>
      </c>
      <c r="E704" s="26">
        <f>+E703*(1+C703*F704/365)</f>
        <v>131.97338500684523</v>
      </c>
      <c r="F704" s="27">
        <f t="shared" si="59"/>
        <v>1</v>
      </c>
      <c r="G704" s="28">
        <f t="shared" ca="1" si="60"/>
        <v>0.14014845634274148</v>
      </c>
      <c r="H704" s="28">
        <f t="shared" ca="1" si="62"/>
        <v>0.14128454001660332</v>
      </c>
      <c r="I704" s="28">
        <f t="shared" ca="1" si="61"/>
        <v>0.14267120756912724</v>
      </c>
      <c r="J704" s="28">
        <f t="shared" ca="1" si="63"/>
        <v>0.14388197463790547</v>
      </c>
      <c r="K704" s="36">
        <v>14</v>
      </c>
    </row>
    <row r="705" spans="1:11" x14ac:dyDescent="0.25">
      <c r="A705" s="23" t="s">
        <v>6</v>
      </c>
      <c r="B705" s="24">
        <v>45269</v>
      </c>
      <c r="C705" s="28">
        <v>0.140072</v>
      </c>
      <c r="D705" s="25">
        <f t="shared" ca="1" si="58"/>
        <v>132.02401154006418</v>
      </c>
      <c r="E705" s="26">
        <f>+E703*(1+C704*F705/365)</f>
        <v>132.02401154006418</v>
      </c>
      <c r="F705" s="27">
        <f t="shared" si="59"/>
        <v>2</v>
      </c>
      <c r="G705" s="28">
        <f t="shared" ca="1" si="60"/>
        <v>0.14015107188814854</v>
      </c>
      <c r="H705" s="28">
        <f t="shared" ca="1" si="62"/>
        <v>0.14128515574258568</v>
      </c>
      <c r="I705" s="28">
        <f t="shared" ca="1" si="61"/>
        <v>0.14267203476024687</v>
      </c>
      <c r="J705" s="28">
        <f t="shared" ca="1" si="63"/>
        <v>0.14391902455376002</v>
      </c>
      <c r="K705" s="36">
        <v>14</v>
      </c>
    </row>
    <row r="706" spans="1:11" x14ac:dyDescent="0.25">
      <c r="A706" s="23" t="s">
        <v>6</v>
      </c>
      <c r="B706" s="24">
        <v>45270</v>
      </c>
      <c r="C706" s="28">
        <v>0.140072</v>
      </c>
      <c r="D706" s="25">
        <f t="shared" ca="1" si="58"/>
        <v>132.07463807328315</v>
      </c>
      <c r="E706" s="26">
        <f>+E704*(1+C705*F706/365)</f>
        <v>132.1253228916508</v>
      </c>
      <c r="F706" s="27">
        <f t="shared" si="59"/>
        <v>3</v>
      </c>
      <c r="G706" s="28">
        <f t="shared" ca="1" si="60"/>
        <v>0.14015368542864431</v>
      </c>
      <c r="H706" s="28">
        <f t="shared" ca="1" si="62"/>
        <v>0.14128396164462487</v>
      </c>
      <c r="I706" s="28">
        <f t="shared" ca="1" si="61"/>
        <v>0.14267286131753687</v>
      </c>
      <c r="J706" s="28">
        <f t="shared" ca="1" si="63"/>
        <v>0.14395331032714184</v>
      </c>
      <c r="K706" s="36">
        <v>14</v>
      </c>
    </row>
    <row r="707" spans="1:11" x14ac:dyDescent="0.25">
      <c r="A707" s="13" t="s">
        <v>7</v>
      </c>
      <c r="B707" s="29">
        <v>45271</v>
      </c>
      <c r="C707" s="20">
        <v>0.14000000000000001</v>
      </c>
      <c r="D707" s="30">
        <f t="shared" ref="D707:D770" ca="1" si="64">+IF(F707=1,D706*(1+C706*F707/365),OFFSET(D706,-F707+1,0)*(1+C706*F707/365))</f>
        <v>132.1252646065021</v>
      </c>
      <c r="E707" s="31">
        <f>+E703*(1+C706*F707/365)</f>
        <v>132.1252646065021</v>
      </c>
      <c r="F707" s="32">
        <f t="shared" si="59"/>
        <v>4</v>
      </c>
      <c r="G707" s="20">
        <f t="shared" ca="1" si="60"/>
        <v>0.14015629696653281</v>
      </c>
      <c r="H707" s="20">
        <f t="shared" ca="1" si="62"/>
        <v>0.14122810601573374</v>
      </c>
      <c r="I707" s="20">
        <f t="shared" ca="1" si="61"/>
        <v>0.14267183715643339</v>
      </c>
      <c r="J707" s="20">
        <f t="shared" ca="1" si="63"/>
        <v>0.14398668870172668</v>
      </c>
      <c r="K707" s="36">
        <v>14</v>
      </c>
    </row>
    <row r="708" spans="1:11" x14ac:dyDescent="0.25">
      <c r="A708" s="13" t="s">
        <v>7</v>
      </c>
      <c r="B708" s="29">
        <v>45272</v>
      </c>
      <c r="C708" s="20">
        <v>0.14000000000000001</v>
      </c>
      <c r="D708" s="30">
        <f t="shared" ca="1" si="64"/>
        <v>132.17594279018678</v>
      </c>
      <c r="E708" s="31">
        <f>+E707*(1+C707*F708/365)</f>
        <v>132.17594279018678</v>
      </c>
      <c r="F708" s="32">
        <f t="shared" si="59"/>
        <v>1</v>
      </c>
      <c r="G708" s="20">
        <f t="shared" ca="1" si="60"/>
        <v>0.14015629696652124</v>
      </c>
      <c r="H708" s="20">
        <f t="shared" ca="1" si="62"/>
        <v>0.1411771032241827</v>
      </c>
      <c r="I708" s="20">
        <f t="shared" ca="1" si="61"/>
        <v>0.14267183715643247</v>
      </c>
      <c r="J708" s="20">
        <f t="shared" ca="1" si="63"/>
        <v>0.14401969331411352</v>
      </c>
      <c r="K708" s="36">
        <v>14</v>
      </c>
    </row>
    <row r="709" spans="1:11" x14ac:dyDescent="0.25">
      <c r="A709" s="13" t="s">
        <v>7</v>
      </c>
      <c r="B709" s="29">
        <v>45273</v>
      </c>
      <c r="C709" s="20">
        <v>0.14000000000000001</v>
      </c>
      <c r="D709" s="30">
        <f t="shared" ca="1" si="64"/>
        <v>132.22664041207892</v>
      </c>
      <c r="E709" s="31">
        <f>+E708*(1+C708*F709/365)</f>
        <v>132.22664041207892</v>
      </c>
      <c r="F709" s="32">
        <f t="shared" si="59"/>
        <v>1</v>
      </c>
      <c r="G709" s="20">
        <f t="shared" ca="1" si="60"/>
        <v>0.14015629696652124</v>
      </c>
      <c r="H709" s="20">
        <f t="shared" ca="1" si="62"/>
        <v>0.14112794927905684</v>
      </c>
      <c r="I709" s="20">
        <f t="shared" ca="1" si="61"/>
        <v>0.14267183715643339</v>
      </c>
      <c r="J709" s="20">
        <f t="shared" ca="1" si="63"/>
        <v>0.14404943296480621</v>
      </c>
      <c r="K709" s="36">
        <v>14</v>
      </c>
    </row>
    <row r="710" spans="1:11" x14ac:dyDescent="0.25">
      <c r="A710" s="13" t="s">
        <v>7</v>
      </c>
      <c r="B710" s="29">
        <v>45274</v>
      </c>
      <c r="C710" s="20">
        <v>0.14000000000000001</v>
      </c>
      <c r="D710" s="30">
        <f t="shared" ca="1" si="64"/>
        <v>132.27735747963425</v>
      </c>
      <c r="E710" s="31">
        <f>+E709*(1+C709*F710/365)</f>
        <v>132.27735747963425</v>
      </c>
      <c r="F710" s="32">
        <f t="shared" si="59"/>
        <v>1</v>
      </c>
      <c r="G710" s="20">
        <f t="shared" ca="1" si="60"/>
        <v>0.14015629696652124</v>
      </c>
      <c r="H710" s="20">
        <f t="shared" ca="1" si="62"/>
        <v>0.14112794927905684</v>
      </c>
      <c r="I710" s="20">
        <f t="shared" ca="1" si="61"/>
        <v>0.14267183715643339</v>
      </c>
      <c r="J710" s="20">
        <f t="shared" ca="1" si="63"/>
        <v>0.14407917302274068</v>
      </c>
      <c r="K710" s="36">
        <v>14</v>
      </c>
    </row>
    <row r="711" spans="1:11" x14ac:dyDescent="0.25">
      <c r="A711" s="13" t="s">
        <v>7</v>
      </c>
      <c r="B711" s="29">
        <v>45275</v>
      </c>
      <c r="C711" s="20">
        <v>0.14000000000000001</v>
      </c>
      <c r="D711" s="30">
        <f t="shared" ca="1" si="64"/>
        <v>132.32809400031138</v>
      </c>
      <c r="E711" s="31">
        <f>+E710*(1+C710*F711/365)</f>
        <v>132.32809400031138</v>
      </c>
      <c r="F711" s="32">
        <f t="shared" ref="F711:F774" si="65">IF(A710="Working day",1,(IF(A709="Working day",2,(IF(A708="Working day",3,IF(A707="Working day",4,IF(A706="Working day",5,6)))))))</f>
        <v>1</v>
      </c>
      <c r="G711" s="20">
        <f t="shared" ca="1" si="60"/>
        <v>0.14014598756130028</v>
      </c>
      <c r="H711" s="20">
        <f t="shared" ca="1" si="62"/>
        <v>0.14112794927905414</v>
      </c>
      <c r="I711" s="20">
        <f t="shared" ca="1" si="61"/>
        <v>0.14267269947532274</v>
      </c>
      <c r="J711" s="20">
        <f t="shared" ca="1" si="63"/>
        <v>0.14410921037946825</v>
      </c>
      <c r="K711" s="36">
        <v>14</v>
      </c>
    </row>
    <row r="712" spans="1:11" x14ac:dyDescent="0.25">
      <c r="A712" s="23" t="s">
        <v>6</v>
      </c>
      <c r="B712" s="24">
        <v>45276</v>
      </c>
      <c r="C712" s="28">
        <v>0.14000000000000001</v>
      </c>
      <c r="D712" s="25">
        <f t="shared" ca="1" si="64"/>
        <v>132.37884998157179</v>
      </c>
      <c r="E712" s="26">
        <f>+E711*(1+C711*F712/365)</f>
        <v>132.37884998157179</v>
      </c>
      <c r="F712" s="27">
        <f t="shared" si="65"/>
        <v>1</v>
      </c>
      <c r="G712" s="28">
        <f t="shared" ca="1" si="60"/>
        <v>0.14014337201615951</v>
      </c>
      <c r="H712" s="28">
        <f t="shared" ca="1" si="62"/>
        <v>0.14112794927905684</v>
      </c>
      <c r="I712" s="28">
        <f t="shared" ca="1" si="61"/>
        <v>0.14267417830163728</v>
      </c>
      <c r="J712" s="28">
        <f t="shared" ca="1" si="63"/>
        <v>0.14413954482789582</v>
      </c>
      <c r="K712" s="36">
        <v>14</v>
      </c>
    </row>
    <row r="713" spans="1:11" x14ac:dyDescent="0.25">
      <c r="A713" s="23" t="s">
        <v>6</v>
      </c>
      <c r="B713" s="24">
        <v>45277</v>
      </c>
      <c r="C713" s="28">
        <v>0.14000000000000001</v>
      </c>
      <c r="D713" s="25">
        <f t="shared" ca="1" si="64"/>
        <v>132.42960596283217</v>
      </c>
      <c r="E713" s="26">
        <f>+E711*(1+C712*F713/365)</f>
        <v>132.42960596283217</v>
      </c>
      <c r="F713" s="27">
        <f t="shared" si="65"/>
        <v>2</v>
      </c>
      <c r="G713" s="28">
        <f t="shared" ref="G713:G776" ca="1" si="66">(D713/OFFSET(D713,-7,0)-1)*365/7</f>
        <v>0.14014075847617316</v>
      </c>
      <c r="H713" s="28">
        <f t="shared" ca="1" si="62"/>
        <v>0.14112613995028217</v>
      </c>
      <c r="I713" s="28">
        <f t="shared" ca="1" si="61"/>
        <v>0.14267565599542009</v>
      </c>
      <c r="J713" s="28">
        <f t="shared" ca="1" si="63"/>
        <v>0.14416896682892347</v>
      </c>
      <c r="K713" s="36">
        <v>14</v>
      </c>
    </row>
    <row r="714" spans="1:11" x14ac:dyDescent="0.25">
      <c r="A714" s="13" t="s">
        <v>7</v>
      </c>
      <c r="B714" s="29">
        <v>45278</v>
      </c>
      <c r="C714" s="20">
        <v>0.14000000000000001</v>
      </c>
      <c r="D714" s="30">
        <f t="shared" ca="1" si="64"/>
        <v>132.48036194409255</v>
      </c>
      <c r="E714" s="31">
        <f>+E711*(1+C713*F714/365)</f>
        <v>132.48036194409255</v>
      </c>
      <c r="F714" s="32">
        <f t="shared" si="65"/>
        <v>3</v>
      </c>
      <c r="G714" s="20">
        <f t="shared" ca="1" si="66"/>
        <v>0.1401381469390604</v>
      </c>
      <c r="H714" s="20">
        <f t="shared" ca="1" si="62"/>
        <v>0.14112252268018294</v>
      </c>
      <c r="I714" s="20">
        <f t="shared" ca="1" si="61"/>
        <v>0.14267442213192691</v>
      </c>
      <c r="J714" s="20">
        <f t="shared" ca="1" si="63"/>
        <v>0.14419807017808492</v>
      </c>
      <c r="K714" s="36">
        <v>14</v>
      </c>
    </row>
    <row r="715" spans="1:11" x14ac:dyDescent="0.25">
      <c r="A715" s="13" t="s">
        <v>7</v>
      </c>
      <c r="B715" s="29">
        <v>45279</v>
      </c>
      <c r="C715" s="20">
        <v>0.14000000000000001</v>
      </c>
      <c r="D715" s="30">
        <f t="shared" ca="1" si="64"/>
        <v>132.53117632949576</v>
      </c>
      <c r="E715" s="31">
        <f>+E714*(1+C714*F715/365)</f>
        <v>132.53117632949576</v>
      </c>
      <c r="F715" s="32">
        <f t="shared" si="65"/>
        <v>1</v>
      </c>
      <c r="G715" s="20">
        <f t="shared" ca="1" si="66"/>
        <v>0.1401381469390604</v>
      </c>
      <c r="H715" s="20">
        <f t="shared" ca="1" si="62"/>
        <v>0.14112433200842273</v>
      </c>
      <c r="I715" s="20">
        <f t="shared" ca="1" si="61"/>
        <v>0.14267660667514498</v>
      </c>
      <c r="J715" s="20">
        <f t="shared" ca="1" si="63"/>
        <v>0.14422781227139228</v>
      </c>
      <c r="K715" s="36">
        <v>14</v>
      </c>
    </row>
    <row r="716" spans="1:11" x14ac:dyDescent="0.25">
      <c r="A716" s="13" t="s">
        <v>7</v>
      </c>
      <c r="B716" s="29">
        <v>45280</v>
      </c>
      <c r="C716" s="20">
        <v>0.14000000000000001</v>
      </c>
      <c r="D716" s="30">
        <f t="shared" ca="1" si="64"/>
        <v>132.58201020534818</v>
      </c>
      <c r="E716" s="31">
        <f>+E715*(1+C715*F716/365)</f>
        <v>132.58201020534818</v>
      </c>
      <c r="F716" s="32">
        <f t="shared" si="65"/>
        <v>1</v>
      </c>
      <c r="G716" s="20">
        <f t="shared" ca="1" si="66"/>
        <v>0.1401381469390604</v>
      </c>
      <c r="H716" s="20">
        <f t="shared" ca="1" si="62"/>
        <v>0.14112794927905414</v>
      </c>
      <c r="I716" s="20">
        <f t="shared" ca="1" si="61"/>
        <v>0.14267660667514498</v>
      </c>
      <c r="J716" s="20">
        <f t="shared" ca="1" si="63"/>
        <v>0.14425755477197524</v>
      </c>
      <c r="K716" s="36">
        <v>14</v>
      </c>
    </row>
    <row r="717" spans="1:11" x14ac:dyDescent="0.25">
      <c r="A717" s="13" t="s">
        <v>7</v>
      </c>
      <c r="B717" s="29">
        <v>45281</v>
      </c>
      <c r="C717" s="20">
        <v>0.14000000000000001</v>
      </c>
      <c r="D717" s="30">
        <f t="shared" ca="1" si="64"/>
        <v>132.6328635791256</v>
      </c>
      <c r="E717" s="31">
        <f>+E716*(1+C716*F717/365)</f>
        <v>132.6328635791256</v>
      </c>
      <c r="F717" s="32">
        <f t="shared" si="65"/>
        <v>1</v>
      </c>
      <c r="G717" s="20">
        <f t="shared" ca="1" si="66"/>
        <v>0.1401381469390604</v>
      </c>
      <c r="H717" s="20">
        <f t="shared" ca="1" si="62"/>
        <v>0.14112794927905684</v>
      </c>
      <c r="I717" s="20">
        <f t="shared" ca="1" si="61"/>
        <v>0.14267660667514498</v>
      </c>
      <c r="J717" s="20">
        <f t="shared" ca="1" si="63"/>
        <v>0.14428729767983958</v>
      </c>
      <c r="K717" s="36">
        <v>14</v>
      </c>
    </row>
    <row r="718" spans="1:11" x14ac:dyDescent="0.25">
      <c r="A718" s="13" t="s">
        <v>7</v>
      </c>
      <c r="B718" s="29">
        <v>45282</v>
      </c>
      <c r="C718" s="20">
        <v>0.14000000000000001</v>
      </c>
      <c r="D718" s="30">
        <f t="shared" ca="1" si="64"/>
        <v>132.68373645830664</v>
      </c>
      <c r="E718" s="31">
        <f>+E717*(1+C717*F718/365)</f>
        <v>132.68373645830664</v>
      </c>
      <c r="F718" s="32">
        <f t="shared" si="65"/>
        <v>1</v>
      </c>
      <c r="G718" s="20">
        <f t="shared" ca="1" si="66"/>
        <v>0.1401381469390604</v>
      </c>
      <c r="H718" s="20">
        <f t="shared" ca="1" si="62"/>
        <v>0.14112794927905684</v>
      </c>
      <c r="I718" s="20">
        <f t="shared" ca="1" si="61"/>
        <v>0.14267660667514409</v>
      </c>
      <c r="J718" s="20">
        <f t="shared" ca="1" si="63"/>
        <v>0.14431733791498616</v>
      </c>
      <c r="K718" s="36">
        <v>14</v>
      </c>
    </row>
    <row r="719" spans="1:11" x14ac:dyDescent="0.25">
      <c r="A719" s="23" t="s">
        <v>6</v>
      </c>
      <c r="B719" s="24">
        <v>45283</v>
      </c>
      <c r="C719" s="28">
        <v>0.14000000000000001</v>
      </c>
      <c r="D719" s="25">
        <f t="shared" ca="1" si="64"/>
        <v>132.73462885037284</v>
      </c>
      <c r="E719" s="26">
        <f>+E718*(1+C718*F719/365)</f>
        <v>132.73462885037284</v>
      </c>
      <c r="F719" s="27">
        <f t="shared" si="65"/>
        <v>1</v>
      </c>
      <c r="G719" s="28">
        <f t="shared" ca="1" si="66"/>
        <v>0.1401381469390604</v>
      </c>
      <c r="H719" s="28">
        <f t="shared" ca="1" si="62"/>
        <v>0.14112794927905414</v>
      </c>
      <c r="I719" s="28">
        <f t="shared" ca="1" si="61"/>
        <v>0.14267722384366288</v>
      </c>
      <c r="J719" s="28">
        <f t="shared" ca="1" si="63"/>
        <v>0.14434767527030248</v>
      </c>
      <c r="K719" s="36">
        <v>14</v>
      </c>
    </row>
    <row r="720" spans="1:11" x14ac:dyDescent="0.25">
      <c r="A720" s="23" t="s">
        <v>6</v>
      </c>
      <c r="B720" s="24">
        <v>45284</v>
      </c>
      <c r="C720" s="28">
        <v>0.14000000000000001</v>
      </c>
      <c r="D720" s="25">
        <f t="shared" ca="1" si="64"/>
        <v>132.78552124243902</v>
      </c>
      <c r="E720" s="26">
        <f>+E718*(1+C719*F720/365)</f>
        <v>132.78552124243902</v>
      </c>
      <c r="F720" s="27">
        <f t="shared" si="65"/>
        <v>2</v>
      </c>
      <c r="G720" s="28">
        <f t="shared" ca="1" si="66"/>
        <v>0.14013814693904883</v>
      </c>
      <c r="H720" s="28">
        <f t="shared" ca="1" si="62"/>
        <v>0.14112613995027942</v>
      </c>
      <c r="I720" s="28">
        <f t="shared" ca="1" si="61"/>
        <v>0.14267784053927932</v>
      </c>
      <c r="J720" s="28">
        <f t="shared" ca="1" si="63"/>
        <v>0.14437710009078078</v>
      </c>
      <c r="K720" s="36">
        <v>14</v>
      </c>
    </row>
    <row r="721" spans="1:11" x14ac:dyDescent="0.25">
      <c r="A721" s="13" t="s">
        <v>7</v>
      </c>
      <c r="B721" s="29">
        <v>45285</v>
      </c>
      <c r="C721" s="20">
        <v>0.14000000000000001</v>
      </c>
      <c r="D721" s="30">
        <f t="shared" ca="1" si="64"/>
        <v>132.83641363450525</v>
      </c>
      <c r="E721" s="31">
        <f>+E718*(1+C720*F721/365)</f>
        <v>132.83641363450525</v>
      </c>
      <c r="F721" s="32">
        <f t="shared" si="65"/>
        <v>3</v>
      </c>
      <c r="G721" s="20">
        <f t="shared" ca="1" si="66"/>
        <v>0.14013814693907198</v>
      </c>
      <c r="H721" s="20">
        <f t="shared" ca="1" si="62"/>
        <v>0.14112252268018294</v>
      </c>
      <c r="I721" s="20">
        <f t="shared" ca="1" si="61"/>
        <v>0.14267660667514498</v>
      </c>
      <c r="J721" s="20">
        <f t="shared" ca="1" si="63"/>
        <v>0.14424021238544191</v>
      </c>
      <c r="K721" s="36">
        <v>14</v>
      </c>
    </row>
    <row r="722" spans="1:11" x14ac:dyDescent="0.25">
      <c r="A722" s="13" t="s">
        <v>7</v>
      </c>
      <c r="B722" s="29">
        <v>45286</v>
      </c>
      <c r="C722" s="20">
        <v>0.14000000000000001</v>
      </c>
      <c r="D722" s="30">
        <f t="shared" ca="1" si="64"/>
        <v>132.88736458768014</v>
      </c>
      <c r="E722" s="31">
        <f>+E721*(1+C721*F722/365)</f>
        <v>132.88736458768014</v>
      </c>
      <c r="F722" s="32">
        <f t="shared" si="65"/>
        <v>1</v>
      </c>
      <c r="G722" s="20">
        <f t="shared" ca="1" si="66"/>
        <v>0.14013814693907198</v>
      </c>
      <c r="H722" s="20">
        <f t="shared" ca="1" si="62"/>
        <v>0.14112433200842817</v>
      </c>
      <c r="I722" s="20">
        <f t="shared" ca="1" si="61"/>
        <v>0.14267660667514498</v>
      </c>
      <c r="J722" s="20">
        <f t="shared" ca="1" si="63"/>
        <v>0.14410440387124401</v>
      </c>
      <c r="K722" s="36">
        <v>14</v>
      </c>
    </row>
    <row r="723" spans="1:11" x14ac:dyDescent="0.25">
      <c r="A723" s="13" t="s">
        <v>7</v>
      </c>
      <c r="B723" s="29">
        <v>45287</v>
      </c>
      <c r="C723" s="20">
        <v>0.14000000000000001</v>
      </c>
      <c r="D723" s="30">
        <f t="shared" ca="1" si="64"/>
        <v>132.93833508368638</v>
      </c>
      <c r="E723" s="31">
        <f>+E722*(1+C722*F723/365)</f>
        <v>132.93833508368638</v>
      </c>
      <c r="F723" s="32">
        <f t="shared" si="65"/>
        <v>1</v>
      </c>
      <c r="G723" s="20">
        <f t="shared" ca="1" si="66"/>
        <v>0.14013814693907198</v>
      </c>
      <c r="H723" s="20">
        <f t="shared" ca="1" si="62"/>
        <v>0.14112794927905684</v>
      </c>
      <c r="I723" s="20">
        <f t="shared" ca="1" si="61"/>
        <v>0.14267660667514498</v>
      </c>
      <c r="J723" s="20">
        <f t="shared" ca="1" si="63"/>
        <v>0.14396903568313896</v>
      </c>
      <c r="K723" s="36">
        <v>14</v>
      </c>
    </row>
    <row r="724" spans="1:11" x14ac:dyDescent="0.25">
      <c r="A724" s="13" t="s">
        <v>7</v>
      </c>
      <c r="B724" s="29">
        <v>45288</v>
      </c>
      <c r="C724" s="20">
        <v>0.14000000000000001</v>
      </c>
      <c r="D724" s="30">
        <f t="shared" ca="1" si="64"/>
        <v>132.98932513001986</v>
      </c>
      <c r="E724" s="31">
        <f>+E723*(1+C723*F724/365)</f>
        <v>132.98932513001986</v>
      </c>
      <c r="F724" s="32">
        <f t="shared" si="65"/>
        <v>1</v>
      </c>
      <c r="G724" s="20">
        <f t="shared" ca="1" si="66"/>
        <v>0.14013814693907198</v>
      </c>
      <c r="H724" s="20">
        <f t="shared" ca="1" si="62"/>
        <v>0.14112794927905684</v>
      </c>
      <c r="I724" s="20">
        <f t="shared" ca="1" si="61"/>
        <v>0.14267660667514498</v>
      </c>
      <c r="J724" s="20">
        <f t="shared" ca="1" si="63"/>
        <v>0.14383410735500979</v>
      </c>
      <c r="K724" s="36">
        <v>14</v>
      </c>
    </row>
    <row r="725" spans="1:11" x14ac:dyDescent="0.25">
      <c r="A725" s="13" t="s">
        <v>7</v>
      </c>
      <c r="B725" s="29">
        <v>45289</v>
      </c>
      <c r="C725" s="20">
        <v>0.13500000000000001</v>
      </c>
      <c r="D725" s="30">
        <f t="shared" ca="1" si="64"/>
        <v>133.04033473417934</v>
      </c>
      <c r="E725" s="31">
        <f>+E724*(1+C724*F725/365)</f>
        <v>133.04033473417934</v>
      </c>
      <c r="F725" s="32">
        <f t="shared" si="65"/>
        <v>1</v>
      </c>
      <c r="G725" s="20">
        <f t="shared" ca="1" si="66"/>
        <v>0.14013814693907198</v>
      </c>
      <c r="H725" s="20">
        <f t="shared" ca="1" si="62"/>
        <v>0.14112794927905684</v>
      </c>
      <c r="I725" s="20">
        <f t="shared" ca="1" si="61"/>
        <v>0.14267660667514409</v>
      </c>
      <c r="J725" s="20">
        <f t="shared" ca="1" si="63"/>
        <v>0.14369961842161125</v>
      </c>
      <c r="K725" s="36">
        <v>14</v>
      </c>
    </row>
    <row r="726" spans="1:11" x14ac:dyDescent="0.25">
      <c r="A726" s="23" t="s">
        <v>6</v>
      </c>
      <c r="B726" s="24">
        <v>45290</v>
      </c>
      <c r="C726" s="28">
        <v>0.13500000000000001</v>
      </c>
      <c r="D726" s="25">
        <f t="shared" ca="1" si="64"/>
        <v>133.08954143332758</v>
      </c>
      <c r="E726" s="26">
        <f>+E725*(1+C725*F726/365)</f>
        <v>133.08954143332758</v>
      </c>
      <c r="F726" s="27">
        <f t="shared" si="65"/>
        <v>1</v>
      </c>
      <c r="G726" s="28">
        <f t="shared" ca="1" si="66"/>
        <v>0.13942221612773556</v>
      </c>
      <c r="H726" s="28">
        <f t="shared" ca="1" si="62"/>
        <v>0.14096918891678017</v>
      </c>
      <c r="I726" s="28">
        <f t="shared" ca="1" si="61"/>
        <v>0.14261973585577595</v>
      </c>
      <c r="J726" s="28">
        <f t="shared" ca="1" si="63"/>
        <v>0.14353583539362441</v>
      </c>
      <c r="K726" s="36">
        <v>14</v>
      </c>
    </row>
    <row r="727" spans="1:11" x14ac:dyDescent="0.25">
      <c r="A727" s="23" t="s">
        <v>6</v>
      </c>
      <c r="B727" s="24">
        <v>45291</v>
      </c>
      <c r="C727" s="28">
        <v>0.13500000000000001</v>
      </c>
      <c r="D727" s="25">
        <f t="shared" ca="1" si="64"/>
        <v>133.13874813247588</v>
      </c>
      <c r="E727" s="26">
        <f>+E725*(1+C726*F727/365)</f>
        <v>133.13874813247588</v>
      </c>
      <c r="F727" s="27">
        <f t="shared" si="65"/>
        <v>2</v>
      </c>
      <c r="G727" s="28">
        <f t="shared" ca="1" si="66"/>
        <v>0.13870683410263732</v>
      </c>
      <c r="H727" s="28">
        <f t="shared" ca="1" si="62"/>
        <v>0.14042525090382177</v>
      </c>
      <c r="I727" s="28">
        <f t="shared" ca="1" si="61"/>
        <v>0.14256290861319468</v>
      </c>
      <c r="J727" s="28">
        <f t="shared" ca="1" si="63"/>
        <v>0.14353553858045795</v>
      </c>
      <c r="K727" s="36">
        <v>14</v>
      </c>
    </row>
    <row r="728" spans="1:11" x14ac:dyDescent="0.25">
      <c r="A728" s="23" t="s">
        <v>6</v>
      </c>
      <c r="B728" s="24">
        <v>45292</v>
      </c>
      <c r="C728" s="28">
        <v>0.13500000000000001</v>
      </c>
      <c r="D728" s="25">
        <f t="shared" ca="1" si="64"/>
        <v>133.18795483162413</v>
      </c>
      <c r="E728" s="26">
        <f>+E727*(1+C727*F728/365)</f>
        <v>133.28647742834892</v>
      </c>
      <c r="F728" s="27">
        <f t="shared" si="65"/>
        <v>3</v>
      </c>
      <c r="G728" s="28">
        <f t="shared" ca="1" si="66"/>
        <v>0.13799200023295932</v>
      </c>
      <c r="H728" s="28">
        <f t="shared" ca="1" si="62"/>
        <v>0.14025336183549714</v>
      </c>
      <c r="I728" s="28">
        <f t="shared" ca="1" si="61"/>
        <v>0.14250612489733075</v>
      </c>
      <c r="J728" s="28">
        <f t="shared" ca="1" si="63"/>
        <v>0.14353494517360149</v>
      </c>
      <c r="K728" s="36">
        <v>14</v>
      </c>
    </row>
    <row r="729" spans="1:11" x14ac:dyDescent="0.25">
      <c r="A729" s="23" t="s">
        <v>6</v>
      </c>
      <c r="B729" s="24">
        <v>45293</v>
      </c>
      <c r="C729" s="28">
        <v>0.13500000000000001</v>
      </c>
      <c r="D729" s="25">
        <f t="shared" ca="1" si="64"/>
        <v>133.23716153077237</v>
      </c>
      <c r="E729" s="26">
        <f>+E727*(1+C728*F729/365)</f>
        <v>133.33572052697323</v>
      </c>
      <c r="F729" s="27">
        <f t="shared" si="65"/>
        <v>4</v>
      </c>
      <c r="G729" s="28">
        <f t="shared" ca="1" si="66"/>
        <v>0.13725467495919788</v>
      </c>
      <c r="H729" s="28">
        <f t="shared" ca="1" si="62"/>
        <v>0.14008160452620222</v>
      </c>
      <c r="I729" s="28">
        <f t="shared" ca="1" si="61"/>
        <v>0.14244691895426509</v>
      </c>
      <c r="J729" s="28">
        <f t="shared" ca="1" si="63"/>
        <v>0.14353405539241493</v>
      </c>
      <c r="K729" s="36">
        <v>14</v>
      </c>
    </row>
    <row r="730" spans="1:11" x14ac:dyDescent="0.25">
      <c r="A730" s="13" t="s">
        <v>7</v>
      </c>
      <c r="B730" s="29">
        <v>45294</v>
      </c>
      <c r="C730" s="20">
        <v>0.14000000000000001</v>
      </c>
      <c r="D730" s="30">
        <f t="shared" ca="1" si="64"/>
        <v>133.28636822992061</v>
      </c>
      <c r="E730" s="31">
        <f>+E725*(1+C729*F730/365)</f>
        <v>133.28636822992061</v>
      </c>
      <c r="F730" s="32">
        <f t="shared" si="65"/>
        <v>5</v>
      </c>
      <c r="G730" s="20">
        <f t="shared" ca="1" si="66"/>
        <v>0.13651022945071653</v>
      </c>
      <c r="H730" s="20">
        <f t="shared" ca="1" si="62"/>
        <v>0.13990997882450201</v>
      </c>
      <c r="I730" s="20">
        <f t="shared" ca="1" si="61"/>
        <v>0.14238714126867794</v>
      </c>
      <c r="J730" s="20">
        <f t="shared" ca="1" si="63"/>
        <v>0.14353286945613292</v>
      </c>
      <c r="K730" s="36">
        <v>14</v>
      </c>
    </row>
    <row r="731" spans="1:11" x14ac:dyDescent="0.25">
      <c r="A731" s="13" t="s">
        <v>7</v>
      </c>
      <c r="B731" s="29">
        <v>45295</v>
      </c>
      <c r="C731" s="20">
        <v>0.14000000000000001</v>
      </c>
      <c r="D731" s="30">
        <f t="shared" ca="1" si="64"/>
        <v>133.33749176841977</v>
      </c>
      <c r="E731" s="31">
        <f>+E730*(1+C730*F731/365)</f>
        <v>133.33749176841977</v>
      </c>
      <c r="F731" s="32">
        <f t="shared" si="65"/>
        <v>1</v>
      </c>
      <c r="G731" s="20">
        <f t="shared" ca="1" si="66"/>
        <v>0.13651022945071653</v>
      </c>
      <c r="H731" s="20">
        <f t="shared" ca="1" si="62"/>
        <v>0.13990997882449932</v>
      </c>
      <c r="I731" s="20">
        <f t="shared" ca="1" si="61"/>
        <v>0.14238714126867794</v>
      </c>
      <c r="J731" s="20">
        <f t="shared" ca="1" si="63"/>
        <v>0.14356260244047095</v>
      </c>
      <c r="K731" s="36">
        <v>14</v>
      </c>
    </row>
    <row r="732" spans="1:11" x14ac:dyDescent="0.25">
      <c r="A732" s="13" t="s">
        <v>7</v>
      </c>
      <c r="B732" s="29">
        <v>45296</v>
      </c>
      <c r="C732" s="20">
        <v>0.14000000000000001</v>
      </c>
      <c r="D732" s="30">
        <f t="shared" ca="1" si="64"/>
        <v>133.38863491594739</v>
      </c>
      <c r="E732" s="31">
        <f>+E731*(1+C731*F732/365)</f>
        <v>133.38863491594739</v>
      </c>
      <c r="F732" s="32">
        <f t="shared" si="65"/>
        <v>1</v>
      </c>
      <c r="G732" s="20">
        <f t="shared" ca="1" si="66"/>
        <v>0.13651022945071653</v>
      </c>
      <c r="H732" s="20">
        <f t="shared" ca="1" si="62"/>
        <v>0.13990997882449932</v>
      </c>
      <c r="I732" s="20">
        <f t="shared" ref="I732:I795" ca="1" si="67">($D732/OFFSET($D732,-90,0)-1)*365/90</f>
        <v>0.14238714126867794</v>
      </c>
      <c r="J732" s="20">
        <f t="shared" ca="1" si="63"/>
        <v>0.14359263265289096</v>
      </c>
      <c r="K732" s="36">
        <v>14</v>
      </c>
    </row>
    <row r="733" spans="1:11" x14ac:dyDescent="0.25">
      <c r="A733" s="13" t="s">
        <v>7</v>
      </c>
      <c r="B733" s="29">
        <v>45297</v>
      </c>
      <c r="C733" s="20">
        <v>0.14000000000000001</v>
      </c>
      <c r="D733" s="30">
        <f t="shared" ca="1" si="64"/>
        <v>133.43979768002475</v>
      </c>
      <c r="E733" s="31">
        <f>+E732*(1+C732*F733/365)</f>
        <v>133.43979768002475</v>
      </c>
      <c r="F733" s="32">
        <f t="shared" si="65"/>
        <v>1</v>
      </c>
      <c r="G733" s="20">
        <f t="shared" ca="1" si="66"/>
        <v>0.13722612038657656</v>
      </c>
      <c r="H733" s="20">
        <f t="shared" ca="1" si="62"/>
        <v>0.13990997882449932</v>
      </c>
      <c r="I733" s="20">
        <f t="shared" ca="1" si="67"/>
        <v>0.1423877583946429</v>
      </c>
      <c r="J733" s="20">
        <f t="shared" ca="1" si="63"/>
        <v>0.14362295988634763</v>
      </c>
      <c r="K733" s="36">
        <v>14</v>
      </c>
    </row>
    <row r="734" spans="1:11" x14ac:dyDescent="0.25">
      <c r="A734" s="23" t="s">
        <v>6</v>
      </c>
      <c r="B734" s="24">
        <v>45298</v>
      </c>
      <c r="C734" s="28">
        <v>0.14000000000000001</v>
      </c>
      <c r="D734" s="25">
        <f t="shared" ca="1" si="64"/>
        <v>133.49098006817601</v>
      </c>
      <c r="E734" s="26">
        <f>+E732*(1+C733*F734/365)</f>
        <v>133.43979768002475</v>
      </c>
      <c r="F734" s="27">
        <f t="shared" si="65"/>
        <v>1</v>
      </c>
      <c r="G734" s="28">
        <f t="shared" ca="1" si="66"/>
        <v>0.13794916778163691</v>
      </c>
      <c r="H734" s="28">
        <f t="shared" ca="1" si="62"/>
        <v>0.13990755215707795</v>
      </c>
      <c r="I734" s="28">
        <f t="shared" ca="1" si="67"/>
        <v>0.1423889921738849</v>
      </c>
      <c r="J734" s="28">
        <f t="shared" ca="1" si="63"/>
        <v>0.14365269410434514</v>
      </c>
      <c r="K734" s="36">
        <v>14</v>
      </c>
    </row>
    <row r="735" spans="1:11" x14ac:dyDescent="0.25">
      <c r="A735" s="13" t="s">
        <v>7</v>
      </c>
      <c r="B735" s="29">
        <v>45299</v>
      </c>
      <c r="C735" s="20">
        <v>0.13900000000000001</v>
      </c>
      <c r="D735" s="30">
        <f t="shared" ca="1" si="64"/>
        <v>133.54216245632722</v>
      </c>
      <c r="E735" s="31">
        <f>+E733*(1+C734*F735/365)</f>
        <v>133.54216245632722</v>
      </c>
      <c r="F735" s="32">
        <f t="shared" si="65"/>
        <v>2</v>
      </c>
      <c r="G735" s="20">
        <f t="shared" ca="1" si="66"/>
        <v>0.13867168091254006</v>
      </c>
      <c r="H735" s="20">
        <f t="shared" ca="1" si="62"/>
        <v>0.13990512735073046</v>
      </c>
      <c r="I735" s="20">
        <f t="shared" ca="1" si="67"/>
        <v>0.14238837504773799</v>
      </c>
      <c r="J735" s="20">
        <f t="shared" ca="1" si="63"/>
        <v>0.14368210951022134</v>
      </c>
      <c r="K735" s="36">
        <v>14</v>
      </c>
    </row>
    <row r="736" spans="1:11" x14ac:dyDescent="0.25">
      <c r="A736" s="13" t="s">
        <v>7</v>
      </c>
      <c r="B736" s="29">
        <v>45300</v>
      </c>
      <c r="C736" s="20">
        <v>0.13980000000000001</v>
      </c>
      <c r="D736" s="30">
        <f t="shared" ca="1" si="64"/>
        <v>133.5930182387421</v>
      </c>
      <c r="E736" s="31">
        <f>+E735*(1+C735*F736/365)</f>
        <v>133.5930182387421</v>
      </c>
      <c r="F736" s="32">
        <f t="shared" si="65"/>
        <v>1</v>
      </c>
      <c r="G736" s="20">
        <f t="shared" ca="1" si="66"/>
        <v>0.13926584200541112</v>
      </c>
      <c r="H736" s="20">
        <f t="shared" ref="H736:H799" ca="1" si="68">($D736/OFFSET($D736,-30,0)-1)*365/30</f>
        <v>0.13987261760404579</v>
      </c>
      <c r="I736" s="20">
        <f t="shared" ca="1" si="67"/>
        <v>0.14237687824122364</v>
      </c>
      <c r="J736" s="20">
        <f t="shared" ca="1" si="63"/>
        <v>0.14370589753259488</v>
      </c>
      <c r="K736" s="36">
        <v>14</v>
      </c>
    </row>
    <row r="737" spans="1:14" x14ac:dyDescent="0.25">
      <c r="A737" s="13" t="s">
        <v>7</v>
      </c>
      <c r="B737" s="29">
        <v>45301</v>
      </c>
      <c r="C737" s="20">
        <v>0.13976</v>
      </c>
      <c r="D737" s="30">
        <f t="shared" ca="1" si="64"/>
        <v>133.64418619476888</v>
      </c>
      <c r="E737" s="31">
        <f>+E736*(1+C736*F737/365)</f>
        <v>133.64418619476888</v>
      </c>
      <c r="F737" s="32">
        <f t="shared" si="65"/>
        <v>1</v>
      </c>
      <c r="G737" s="20">
        <f t="shared" ca="1" si="66"/>
        <v>0.13998168959069229</v>
      </c>
      <c r="H737" s="20">
        <f t="shared" ca="1" si="68"/>
        <v>0.13986887906929724</v>
      </c>
      <c r="I737" s="20">
        <f t="shared" ca="1" si="67"/>
        <v>0.14237457888621696</v>
      </c>
      <c r="J737" s="20">
        <f t="shared" ca="1" si="63"/>
        <v>0.14371939728963926</v>
      </c>
      <c r="K737" s="36">
        <v>14</v>
      </c>
    </row>
    <row r="738" spans="1:14" x14ac:dyDescent="0.25">
      <c r="A738" s="13" t="s">
        <v>7</v>
      </c>
      <c r="B738" s="29">
        <v>45302</v>
      </c>
      <c r="C738" s="20">
        <v>0.14000000000000001</v>
      </c>
      <c r="D738" s="30">
        <f t="shared" ca="1" si="64"/>
        <v>133.69535910288553</v>
      </c>
      <c r="E738" s="31">
        <f>+E737*(1+C737*F738/365)</f>
        <v>133.69535910288553</v>
      </c>
      <c r="F738" s="32">
        <f t="shared" si="65"/>
        <v>1</v>
      </c>
      <c r="G738" s="20">
        <f t="shared" ca="1" si="66"/>
        <v>0.13994732501457616</v>
      </c>
      <c r="H738" s="20">
        <f t="shared" ca="1" si="68"/>
        <v>0.13986079020329806</v>
      </c>
      <c r="I738" s="20">
        <f t="shared" ca="1" si="67"/>
        <v>0.1423718196617213</v>
      </c>
      <c r="J738" s="20">
        <f t="shared" ca="1" si="63"/>
        <v>0.14372155606374296</v>
      </c>
      <c r="K738" s="36">
        <v>14</v>
      </c>
    </row>
    <row r="739" spans="1:14" x14ac:dyDescent="0.25">
      <c r="A739" s="13" t="s">
        <v>7</v>
      </c>
      <c r="B739" s="29">
        <v>45303</v>
      </c>
      <c r="C739" s="20">
        <v>0.14000000000000001</v>
      </c>
      <c r="D739" s="30">
        <f t="shared" ca="1" si="64"/>
        <v>133.74663951459624</v>
      </c>
      <c r="E739" s="31">
        <f>+E738*(1+C738*F739/365)</f>
        <v>133.74663951459624</v>
      </c>
      <c r="F739" s="32">
        <f t="shared" si="65"/>
        <v>1</v>
      </c>
      <c r="G739" s="20">
        <f t="shared" ca="1" si="66"/>
        <v>0.13994732501457616</v>
      </c>
      <c r="H739" s="20">
        <f t="shared" ca="1" si="68"/>
        <v>0.13986079020329806</v>
      </c>
      <c r="I739" s="20">
        <f t="shared" ca="1" si="67"/>
        <v>0.1423718196617213</v>
      </c>
      <c r="J739" s="20">
        <f t="shared" ca="1" si="63"/>
        <v>0.14372545861275635</v>
      </c>
      <c r="K739" s="36">
        <v>14</v>
      </c>
    </row>
    <row r="740" spans="1:14" x14ac:dyDescent="0.25">
      <c r="A740" s="23" t="s">
        <v>6</v>
      </c>
      <c r="B740" s="24">
        <v>45304</v>
      </c>
      <c r="C740" s="28">
        <v>0.14000000000000001</v>
      </c>
      <c r="D740" s="25">
        <f t="shared" ca="1" si="64"/>
        <v>133.79793959550597</v>
      </c>
      <c r="E740" s="26">
        <f>+E739*(1+C739*F740/365)</f>
        <v>133.79793959550597</v>
      </c>
      <c r="F740" s="27">
        <f t="shared" si="65"/>
        <v>1</v>
      </c>
      <c r="G740" s="28">
        <f t="shared" ca="1" si="66"/>
        <v>0.13994732501457616</v>
      </c>
      <c r="H740" s="28">
        <f t="shared" ca="1" si="68"/>
        <v>0.13986079020329806</v>
      </c>
      <c r="I740" s="28">
        <f t="shared" ca="1" si="67"/>
        <v>0.14237243678543413</v>
      </c>
      <c r="J740" s="28">
        <f t="shared" ca="1" si="63"/>
        <v>0.14372967741057183</v>
      </c>
      <c r="K740" s="36">
        <v>14</v>
      </c>
    </row>
    <row r="741" spans="1:14" x14ac:dyDescent="0.25">
      <c r="A741" s="23" t="s">
        <v>6</v>
      </c>
      <c r="B741" s="24">
        <v>45305</v>
      </c>
      <c r="C741" s="28">
        <v>0.14000000000000001</v>
      </c>
      <c r="D741" s="25">
        <f t="shared" ca="1" si="64"/>
        <v>133.84923967641564</v>
      </c>
      <c r="E741" s="26">
        <f>+E739*(1+C740*F741/365)</f>
        <v>133.84923967641564</v>
      </c>
      <c r="F741" s="27">
        <f t="shared" si="65"/>
        <v>2</v>
      </c>
      <c r="G741" s="28">
        <f t="shared" ca="1" si="66"/>
        <v>0.13993963908987631</v>
      </c>
      <c r="H741" s="28">
        <f t="shared" ca="1" si="68"/>
        <v>0.13985898106080288</v>
      </c>
      <c r="I741" s="28">
        <f t="shared" ca="1" si="67"/>
        <v>0.14237305343627882</v>
      </c>
      <c r="J741" s="28">
        <f t="shared" ca="1" si="63"/>
        <v>0.14375909385930702</v>
      </c>
      <c r="K741" s="36">
        <v>14</v>
      </c>
    </row>
    <row r="742" spans="1:14" x14ac:dyDescent="0.25">
      <c r="A742" s="13" t="s">
        <v>7</v>
      </c>
      <c r="B742" s="29">
        <v>45306</v>
      </c>
      <c r="C742" s="20">
        <v>0.14000000000000001</v>
      </c>
      <c r="D742" s="30">
        <f t="shared" ca="1" si="64"/>
        <v>133.90053975732536</v>
      </c>
      <c r="E742" s="31">
        <f>+E739*(1+C741*F742/365)</f>
        <v>133.90053975732536</v>
      </c>
      <c r="F742" s="32">
        <f t="shared" si="65"/>
        <v>3</v>
      </c>
      <c r="G742" s="20">
        <f t="shared" ca="1" si="66"/>
        <v>0.13993195905675476</v>
      </c>
      <c r="H742" s="20">
        <f t="shared" ca="1" si="68"/>
        <v>0.13985536416312483</v>
      </c>
      <c r="I742" s="20">
        <f t="shared" ca="1" si="67"/>
        <v>0.14237181966172222</v>
      </c>
      <c r="J742" s="20">
        <f t="shared" ca="1" si="63"/>
        <v>0.14378819171631005</v>
      </c>
      <c r="K742" s="36">
        <v>14</v>
      </c>
    </row>
    <row r="743" spans="1:14" x14ac:dyDescent="0.25">
      <c r="A743" s="13" t="s">
        <v>7</v>
      </c>
      <c r="B743" s="29">
        <v>45307</v>
      </c>
      <c r="C743" s="20">
        <v>0.14000000000000001</v>
      </c>
      <c r="D743" s="30">
        <f t="shared" ca="1" si="64"/>
        <v>133.95189886846518</v>
      </c>
      <c r="E743" s="31">
        <f>+E742*(1+C742*F743/365)</f>
        <v>133.95189886846518</v>
      </c>
      <c r="F743" s="32">
        <f t="shared" si="65"/>
        <v>1</v>
      </c>
      <c r="G743" s="20">
        <f t="shared" ca="1" si="66"/>
        <v>0.14007514504648147</v>
      </c>
      <c r="H743" s="20">
        <f t="shared" ca="1" si="68"/>
        <v>0.13985717330508785</v>
      </c>
      <c r="I743" s="20">
        <f t="shared" ca="1" si="67"/>
        <v>0.14237181966172222</v>
      </c>
      <c r="J743" s="20">
        <f t="shared" ca="1" si="63"/>
        <v>0.14381792819692069</v>
      </c>
      <c r="K743" s="36">
        <v>14</v>
      </c>
    </row>
    <row r="744" spans="1:14" x14ac:dyDescent="0.25">
      <c r="A744" s="13" t="s">
        <v>7</v>
      </c>
      <c r="B744" s="29">
        <v>45308</v>
      </c>
      <c r="C744" s="20">
        <v>0.14000000000000001</v>
      </c>
      <c r="D744" s="30">
        <f t="shared" ca="1" si="64"/>
        <v>134.00327767899009</v>
      </c>
      <c r="E744" s="31">
        <f>+E743*(1+C743*F744/365)</f>
        <v>134.00327767899009</v>
      </c>
      <c r="F744" s="32">
        <f t="shared" si="65"/>
        <v>1</v>
      </c>
      <c r="G744" s="20">
        <f t="shared" ca="1" si="66"/>
        <v>0.14010378226011969</v>
      </c>
      <c r="H744" s="20">
        <f t="shared" ca="1" si="68"/>
        <v>0.13986079020330078</v>
      </c>
      <c r="I744" s="20">
        <f t="shared" ca="1" si="67"/>
        <v>0.14237181966172222</v>
      </c>
      <c r="J744" s="20">
        <f t="shared" ca="1" si="63"/>
        <v>0.14384766508472899</v>
      </c>
      <c r="K744" s="36">
        <v>14</v>
      </c>
    </row>
    <row r="745" spans="1:14" x14ac:dyDescent="0.25">
      <c r="A745" s="13" t="s">
        <v>7</v>
      </c>
      <c r="B745" s="29">
        <v>45309</v>
      </c>
      <c r="C745" s="20">
        <v>0.14000000000000001</v>
      </c>
      <c r="D745" s="30">
        <f t="shared" ca="1" si="64"/>
        <v>134.054676196456</v>
      </c>
      <c r="E745" s="31">
        <f>+E744*(1+C744*F745/365)</f>
        <v>134.054676196456</v>
      </c>
      <c r="F745" s="32">
        <f t="shared" si="65"/>
        <v>1</v>
      </c>
      <c r="G745" s="20">
        <f t="shared" ca="1" si="66"/>
        <v>0.14013814693907198</v>
      </c>
      <c r="H745" s="20">
        <f t="shared" ca="1" si="68"/>
        <v>0.13986079020330078</v>
      </c>
      <c r="I745" s="20">
        <f t="shared" ca="1" si="67"/>
        <v>0.14237181966172222</v>
      </c>
      <c r="J745" s="20">
        <f t="shared" ca="1" si="63"/>
        <v>0.14387740237974173</v>
      </c>
      <c r="K745" s="36">
        <v>14</v>
      </c>
    </row>
    <row r="746" spans="1:14" x14ac:dyDescent="0.25">
      <c r="A746" s="13" t="s">
        <v>7</v>
      </c>
      <c r="B746" s="29">
        <v>45310</v>
      </c>
      <c r="C746" s="20">
        <v>0.14000000000000001</v>
      </c>
      <c r="D746" s="30">
        <f t="shared" ca="1" si="64"/>
        <v>134.10609442842178</v>
      </c>
      <c r="E746" s="31">
        <f>+E745*(1+C745*F746/365)</f>
        <v>134.10609442842178</v>
      </c>
      <c r="F746" s="32">
        <f t="shared" si="65"/>
        <v>1</v>
      </c>
      <c r="G746" s="20">
        <f t="shared" ca="1" si="66"/>
        <v>0.14013814693907198</v>
      </c>
      <c r="H746" s="20">
        <f t="shared" ca="1" si="68"/>
        <v>0.13986079020330078</v>
      </c>
      <c r="I746" s="20">
        <f t="shared" ca="1" si="67"/>
        <v>0.1423718196617213</v>
      </c>
      <c r="J746" s="20">
        <f t="shared" ca="1" si="63"/>
        <v>0.14390743694592786</v>
      </c>
      <c r="K746" s="36">
        <v>14</v>
      </c>
    </row>
    <row r="747" spans="1:14" x14ac:dyDescent="0.25">
      <c r="A747" s="23" t="s">
        <v>6</v>
      </c>
      <c r="B747" s="24">
        <v>45311</v>
      </c>
      <c r="C747" s="28">
        <v>0.14000000000000001</v>
      </c>
      <c r="D747" s="25">
        <f t="shared" ca="1" si="64"/>
        <v>134.15753238244912</v>
      </c>
      <c r="E747" s="26">
        <f>+E746*(1+C746*F747/365)</f>
        <v>134.15753238244912</v>
      </c>
      <c r="F747" s="27">
        <f t="shared" si="65"/>
        <v>1</v>
      </c>
      <c r="G747" s="28">
        <f t="shared" ca="1" si="66"/>
        <v>0.1401381469390604</v>
      </c>
      <c r="H747" s="28">
        <f t="shared" ca="1" si="68"/>
        <v>0.13986079020329806</v>
      </c>
      <c r="I747" s="28">
        <f t="shared" ca="1" si="67"/>
        <v>0.14237243678543501</v>
      </c>
      <c r="J747" s="28">
        <f t="shared" ca="1" si="63"/>
        <v>0.14393776857621329</v>
      </c>
      <c r="K747" s="36">
        <v>14</v>
      </c>
    </row>
    <row r="748" spans="1:14" x14ac:dyDescent="0.25">
      <c r="A748" s="23" t="s">
        <v>6</v>
      </c>
      <c r="B748" s="24">
        <v>45312</v>
      </c>
      <c r="C748" s="28">
        <v>0.14000000000000001</v>
      </c>
      <c r="D748" s="25">
        <f t="shared" ca="1" si="64"/>
        <v>134.20897033647645</v>
      </c>
      <c r="E748" s="26">
        <f>+E746*(1+C747*F748/365)</f>
        <v>134.20897033647645</v>
      </c>
      <c r="F748" s="27">
        <f t="shared" si="65"/>
        <v>2</v>
      </c>
      <c r="G748" s="28">
        <f t="shared" ca="1" si="66"/>
        <v>0.14013814693907198</v>
      </c>
      <c r="H748" s="28">
        <f t="shared" ca="1" si="68"/>
        <v>0.13985898106080827</v>
      </c>
      <c r="I748" s="28">
        <f t="shared" ca="1" si="67"/>
        <v>0.14237305343627971</v>
      </c>
      <c r="J748" s="28">
        <f t="shared" ca="1" si="63"/>
        <v>0.14396718784386778</v>
      </c>
      <c r="K748" s="36">
        <v>14</v>
      </c>
    </row>
    <row r="749" spans="1:14" x14ac:dyDescent="0.25">
      <c r="A749" s="13" t="s">
        <v>7</v>
      </c>
      <c r="B749" s="29">
        <v>45313</v>
      </c>
      <c r="C749" s="20">
        <v>0.14000000000000001</v>
      </c>
      <c r="D749" s="30">
        <f t="shared" ca="1" si="64"/>
        <v>134.26040829050379</v>
      </c>
      <c r="E749" s="31">
        <f>+E746*(1+C748*F749/365)</f>
        <v>134.26040829050379</v>
      </c>
      <c r="F749" s="32">
        <f t="shared" si="65"/>
        <v>3</v>
      </c>
      <c r="G749" s="20">
        <f t="shared" ca="1" si="66"/>
        <v>0.1401381469390604</v>
      </c>
      <c r="H749" s="20">
        <f t="shared" ca="1" si="68"/>
        <v>0.13985536416312752</v>
      </c>
      <c r="I749" s="20">
        <f t="shared" ca="1" si="67"/>
        <v>0.1423718196617213</v>
      </c>
      <c r="J749" s="20">
        <f t="shared" ca="1" si="63"/>
        <v>0.14399628848925911</v>
      </c>
      <c r="K749" s="36">
        <v>14</v>
      </c>
    </row>
    <row r="750" spans="1:14" x14ac:dyDescent="0.25">
      <c r="A750" s="13" t="s">
        <v>7</v>
      </c>
      <c r="B750" s="29">
        <v>45314</v>
      </c>
      <c r="C750" s="20">
        <v>0.13983100000000001</v>
      </c>
      <c r="D750" s="30">
        <f t="shared" ca="1" si="64"/>
        <v>134.31190543340975</v>
      </c>
      <c r="E750" s="31">
        <f>+E749*(1+C749*F750/365)</f>
        <v>134.31190543340975</v>
      </c>
      <c r="F750" s="32">
        <f t="shared" si="65"/>
        <v>1</v>
      </c>
      <c r="G750" s="20">
        <f t="shared" ca="1" si="66"/>
        <v>0.1401381469390604</v>
      </c>
      <c r="H750" s="20">
        <f t="shared" ca="1" si="68"/>
        <v>0.13985717330509054</v>
      </c>
      <c r="I750" s="20">
        <f t="shared" ca="1" si="67"/>
        <v>0.1423718196617213</v>
      </c>
      <c r="J750" s="20">
        <f t="shared" ca="1" si="63"/>
        <v>0.14402602781945606</v>
      </c>
      <c r="K750" s="36">
        <v>14</v>
      </c>
    </row>
    <row r="751" spans="1:14" x14ac:dyDescent="0.25">
      <c r="A751" s="13" t="s">
        <v>7</v>
      </c>
      <c r="B751" s="29">
        <v>45315</v>
      </c>
      <c r="C751" s="20">
        <v>0.139931</v>
      </c>
      <c r="D751" s="30">
        <f t="shared" ca="1" si="64"/>
        <v>134.36336014039239</v>
      </c>
      <c r="E751" s="31">
        <f>+E750*(1+C750*F751/365)</f>
        <v>134.36336014039239</v>
      </c>
      <c r="F751" s="32">
        <f t="shared" si="65"/>
        <v>1</v>
      </c>
      <c r="G751" s="20">
        <f t="shared" ca="1" si="66"/>
        <v>0.1401139484776345</v>
      </c>
      <c r="H751" s="20">
        <f t="shared" ca="1" si="68"/>
        <v>0.13985509429723439</v>
      </c>
      <c r="I751" s="20">
        <f t="shared" ca="1" si="67"/>
        <v>0.14239745760758415</v>
      </c>
      <c r="J751" s="20">
        <f t="shared" ca="1" si="63"/>
        <v>0.14405476235376544</v>
      </c>
      <c r="K751" s="36">
        <v>14</v>
      </c>
      <c r="M751" s="33"/>
      <c r="N751" s="3"/>
    </row>
    <row r="752" spans="1:14" x14ac:dyDescent="0.25">
      <c r="A752" s="13" t="s">
        <v>7</v>
      </c>
      <c r="B752" s="29">
        <v>45316</v>
      </c>
      <c r="C752" s="20">
        <v>0.135577</v>
      </c>
      <c r="D752" s="30">
        <f t="shared" ca="1" si="64"/>
        <v>134.41487137148226</v>
      </c>
      <c r="E752" s="31">
        <f>+E751*(1+C751*F752/365)</f>
        <v>134.41487137148226</v>
      </c>
      <c r="F752" s="32">
        <f t="shared" si="65"/>
        <v>1</v>
      </c>
      <c r="G752" s="20">
        <f t="shared" ca="1" si="66"/>
        <v>0.14010406863701394</v>
      </c>
      <c r="H752" s="20">
        <f t="shared" ca="1" si="68"/>
        <v>0.13985276875086317</v>
      </c>
      <c r="I752" s="20">
        <f t="shared" ca="1" si="67"/>
        <v>0.1423966643262185</v>
      </c>
      <c r="J752" s="20">
        <f t="shared" ca="1" si="63"/>
        <v>0.14408409207087094</v>
      </c>
      <c r="K752" s="36">
        <v>14</v>
      </c>
      <c r="M752" s="33"/>
      <c r="N752" s="3"/>
    </row>
    <row r="753" spans="1:14" x14ac:dyDescent="0.25">
      <c r="A753" s="13" t="s">
        <v>7</v>
      </c>
      <c r="B753" s="29">
        <v>45317</v>
      </c>
      <c r="C753" s="20">
        <v>0.138458</v>
      </c>
      <c r="D753" s="30">
        <f t="shared" ca="1" si="64"/>
        <v>134.46479894686837</v>
      </c>
      <c r="E753" s="31">
        <f>+E752*(1+C752*F753/365)</f>
        <v>134.46479894686837</v>
      </c>
      <c r="F753" s="32">
        <f t="shared" si="65"/>
        <v>1</v>
      </c>
      <c r="G753" s="20">
        <f t="shared" ca="1" si="66"/>
        <v>0.13947075665409567</v>
      </c>
      <c r="H753" s="20">
        <f t="shared" ca="1" si="68"/>
        <v>0.13970369788636419</v>
      </c>
      <c r="I753" s="20">
        <f t="shared" ca="1" si="67"/>
        <v>0.14232887929461049</v>
      </c>
      <c r="J753" s="20">
        <f t="shared" ca="1" si="63"/>
        <v>0.14408782101694845</v>
      </c>
      <c r="K753" s="36">
        <v>14</v>
      </c>
      <c r="M753" s="33"/>
      <c r="N753" s="3"/>
    </row>
    <row r="754" spans="1:14" x14ac:dyDescent="0.25">
      <c r="A754" s="23" t="s">
        <v>6</v>
      </c>
      <c r="B754" s="24">
        <v>45318</v>
      </c>
      <c r="C754" s="28">
        <v>0.138458</v>
      </c>
      <c r="D754" s="25">
        <f t="shared" ca="1" si="64"/>
        <v>134.51580641846451</v>
      </c>
      <c r="E754" s="26">
        <f>+E753*(1+C753*F754/365)</f>
        <v>134.51580641846451</v>
      </c>
      <c r="F754" s="27">
        <f t="shared" si="65"/>
        <v>1</v>
      </c>
      <c r="G754" s="28">
        <f t="shared" ca="1" si="66"/>
        <v>0.13924996641030593</v>
      </c>
      <c r="H754" s="28">
        <f t="shared" ca="1" si="68"/>
        <v>0.13965172761988373</v>
      </c>
      <c r="I754" s="28">
        <f t="shared" ca="1" si="67"/>
        <v>0.14229484721540583</v>
      </c>
      <c r="J754" s="28">
        <f t="shared" ca="1" si="63"/>
        <v>0.14410898316814352</v>
      </c>
      <c r="K754" s="36">
        <v>14</v>
      </c>
      <c r="M754" s="33"/>
      <c r="N754" s="3"/>
    </row>
    <row r="755" spans="1:14" x14ac:dyDescent="0.25">
      <c r="A755" s="23" t="s">
        <v>6</v>
      </c>
      <c r="B755" s="24">
        <v>45319</v>
      </c>
      <c r="C755" s="28">
        <v>0.138458</v>
      </c>
      <c r="D755" s="25">
        <f t="shared" ca="1" si="64"/>
        <v>134.56681389006062</v>
      </c>
      <c r="E755" s="26">
        <f>+E753*(1+C754*F755/365)</f>
        <v>134.56681389006062</v>
      </c>
      <c r="F755" s="27">
        <f t="shared" si="65"/>
        <v>2</v>
      </c>
      <c r="G755" s="28">
        <f t="shared" ca="1" si="66"/>
        <v>0.13902934541001111</v>
      </c>
      <c r="H755" s="28">
        <f t="shared" ca="1" si="68"/>
        <v>0.13959798808632112</v>
      </c>
      <c r="I755" s="28">
        <f t="shared" ca="1" si="67"/>
        <v>0.14226084148704049</v>
      </c>
      <c r="J755" s="28">
        <f t="shared" ca="1" si="63"/>
        <v>0.14412599788258693</v>
      </c>
      <c r="K755" s="36">
        <v>14</v>
      </c>
      <c r="M755" s="33"/>
      <c r="N755" s="3"/>
    </row>
    <row r="756" spans="1:14" x14ac:dyDescent="0.25">
      <c r="A756" s="13" t="s">
        <v>7</v>
      </c>
      <c r="B756" s="29">
        <v>45320</v>
      </c>
      <c r="C756" s="20">
        <v>0.139962</v>
      </c>
      <c r="D756" s="30">
        <f t="shared" ca="1" si="64"/>
        <v>134.61782136165675</v>
      </c>
      <c r="E756" s="31">
        <f>+E753*(1+C755*F756/365)</f>
        <v>134.61782136165675</v>
      </c>
      <c r="F756" s="32">
        <f t="shared" si="65"/>
        <v>3</v>
      </c>
      <c r="G756" s="20">
        <f t="shared" ca="1" si="66"/>
        <v>0.13880889345870015</v>
      </c>
      <c r="H756" s="20">
        <f t="shared" ca="1" si="68"/>
        <v>0.13971099652975369</v>
      </c>
      <c r="I756" s="20">
        <f t="shared" ca="1" si="67"/>
        <v>0.14221727057395139</v>
      </c>
      <c r="J756" s="20">
        <f t="shared" ca="1" si="63"/>
        <v>0.14414594247762494</v>
      </c>
      <c r="K756" s="36">
        <v>14</v>
      </c>
    </row>
    <row r="757" spans="1:14" x14ac:dyDescent="0.25">
      <c r="A757" s="13" t="s">
        <v>7</v>
      </c>
      <c r="B757" s="29">
        <v>45321</v>
      </c>
      <c r="C757" s="20">
        <v>0.14000000000000001</v>
      </c>
      <c r="D757" s="30">
        <f t="shared" ca="1" si="64"/>
        <v>134.66944157950172</v>
      </c>
      <c r="E757" s="31">
        <f>+E756*(1+C756*F757/365)</f>
        <v>134.66944157950172</v>
      </c>
      <c r="F757" s="32">
        <f t="shared" si="65"/>
        <v>1</v>
      </c>
      <c r="G757" s="20">
        <f t="shared" ca="1" si="66"/>
        <v>0.13880345252286733</v>
      </c>
      <c r="H757" s="20">
        <f t="shared" ca="1" si="68"/>
        <v>0.13987991625310853</v>
      </c>
      <c r="I757" s="20">
        <f t="shared" ca="1" si="67"/>
        <v>0.14217499896071914</v>
      </c>
      <c r="J757" s="20">
        <f t="shared" ca="1" si="63"/>
        <v>0.14417545782263447</v>
      </c>
      <c r="K757" s="36">
        <v>14</v>
      </c>
    </row>
    <row r="758" spans="1:14" x14ac:dyDescent="0.25">
      <c r="A758" s="13" t="s">
        <v>7</v>
      </c>
      <c r="B758" s="29">
        <v>45322</v>
      </c>
      <c r="C758" s="20">
        <v>0.14510200000000001</v>
      </c>
      <c r="D758" s="30">
        <f t="shared" ca="1" si="64"/>
        <v>134.72109561188839</v>
      </c>
      <c r="E758" s="31">
        <f>+E757*(1+C757*F758/365)</f>
        <v>134.72109561188839</v>
      </c>
      <c r="F758" s="32">
        <f t="shared" si="65"/>
        <v>1</v>
      </c>
      <c r="G758" s="20">
        <f t="shared" ca="1" si="66"/>
        <v>0.13882765037774286</v>
      </c>
      <c r="H758" s="20">
        <f t="shared" ca="1" si="68"/>
        <v>0.14005180010557275</v>
      </c>
      <c r="I758" s="20">
        <f t="shared" ca="1" si="67"/>
        <v>0.14217499896071914</v>
      </c>
      <c r="J758" s="20">
        <f t="shared" ref="J758:J821" ca="1" si="69">($D758/OFFSET($D758,-180,0)-1)*365/180</f>
        <v>0.14420519960629818</v>
      </c>
      <c r="K758" s="36">
        <v>14</v>
      </c>
    </row>
    <row r="759" spans="1:14" x14ac:dyDescent="0.25">
      <c r="A759" s="13" t="s">
        <v>7</v>
      </c>
      <c r="B759" s="29">
        <v>45323</v>
      </c>
      <c r="C759" s="20">
        <v>0.13897100000000001</v>
      </c>
      <c r="D759" s="30">
        <f t="shared" ca="1" si="64"/>
        <v>134.77465259932805</v>
      </c>
      <c r="E759" s="31">
        <f>+E758*(1+C758*F759/365)</f>
        <v>134.77465259932805</v>
      </c>
      <c r="F759" s="32">
        <f t="shared" si="65"/>
        <v>1</v>
      </c>
      <c r="G759" s="20">
        <f t="shared" ca="1" si="66"/>
        <v>0.13956804760387789</v>
      </c>
      <c r="H759" s="20">
        <f t="shared" ca="1" si="68"/>
        <v>0.14039732698578694</v>
      </c>
      <c r="I759" s="20">
        <f t="shared" ca="1" si="67"/>
        <v>0.14223608992067441</v>
      </c>
      <c r="J759" s="20">
        <f t="shared" ca="1" si="69"/>
        <v>0.14426529072886285</v>
      </c>
      <c r="K759" s="36">
        <v>14</v>
      </c>
    </row>
    <row r="760" spans="1:14" x14ac:dyDescent="0.25">
      <c r="A760" s="13" t="s">
        <v>7</v>
      </c>
      <c r="B760" s="29">
        <v>45324</v>
      </c>
      <c r="C760" s="20">
        <v>0.135938</v>
      </c>
      <c r="D760" s="30">
        <f t="shared" ca="1" si="64"/>
        <v>134.82596703287976</v>
      </c>
      <c r="E760" s="31">
        <f>+E759*(1+C759*F760/365)</f>
        <v>134.82596703287976</v>
      </c>
      <c r="F760" s="32">
        <f t="shared" si="65"/>
        <v>1</v>
      </c>
      <c r="G760" s="20">
        <f t="shared" ca="1" si="66"/>
        <v>0.14005402202618208</v>
      </c>
      <c r="H760" s="20">
        <f t="shared" ca="1" si="68"/>
        <v>0.14053789359531726</v>
      </c>
      <c r="I760" s="20">
        <f t="shared" ca="1" si="67"/>
        <v>0.14222066177925066</v>
      </c>
      <c r="J760" s="20">
        <f t="shared" ca="1" si="69"/>
        <v>0.14428920954657087</v>
      </c>
      <c r="K760" s="36">
        <v>14</v>
      </c>
    </row>
    <row r="761" spans="1:14" x14ac:dyDescent="0.25">
      <c r="A761" s="23" t="s">
        <v>6</v>
      </c>
      <c r="B761" s="24">
        <v>45325</v>
      </c>
      <c r="C761" s="28">
        <v>0.135938</v>
      </c>
      <c r="D761" s="25">
        <f t="shared" ca="1" si="64"/>
        <v>134.87618065563734</v>
      </c>
      <c r="E761" s="26">
        <f>+E760*(1+C760*F761/365)</f>
        <v>134.87618065563734</v>
      </c>
      <c r="F761" s="27">
        <f t="shared" si="65"/>
        <v>1</v>
      </c>
      <c r="G761" s="28">
        <f t="shared" ca="1" si="66"/>
        <v>0.13969319195405894</v>
      </c>
      <c r="H761" s="28">
        <f t="shared" ca="1" si="68"/>
        <v>0.1404009820958273</v>
      </c>
      <c r="I761" s="28">
        <f t="shared" ca="1" si="67"/>
        <v>0.14217098515876697</v>
      </c>
      <c r="J761" s="28">
        <f t="shared" ca="1" si="69"/>
        <v>0.14429538301192149</v>
      </c>
      <c r="K761" s="36">
        <v>14</v>
      </c>
    </row>
    <row r="762" spans="1:14" x14ac:dyDescent="0.25">
      <c r="A762" s="23" t="s">
        <v>6</v>
      </c>
      <c r="B762" s="24">
        <v>45326</v>
      </c>
      <c r="C762" s="28">
        <v>0.135938</v>
      </c>
      <c r="D762" s="25">
        <f t="shared" ca="1" si="64"/>
        <v>134.92639427839489</v>
      </c>
      <c r="E762" s="26">
        <f>+E760*(1+C761*F762/365)</f>
        <v>134.92639427839489</v>
      </c>
      <c r="F762" s="27">
        <f t="shared" si="65"/>
        <v>2</v>
      </c>
      <c r="G762" s="28">
        <f t="shared" ca="1" si="66"/>
        <v>0.13933263542678401</v>
      </c>
      <c r="H762" s="28">
        <f t="shared" ca="1" si="68"/>
        <v>0.14026236634203418</v>
      </c>
      <c r="I762" s="28">
        <f t="shared" ca="1" si="67"/>
        <v>0.142121346687579</v>
      </c>
      <c r="J762" s="28">
        <f t="shared" ca="1" si="69"/>
        <v>0.14430066182201082</v>
      </c>
      <c r="K762" s="36">
        <v>14</v>
      </c>
    </row>
    <row r="763" spans="1:14" x14ac:dyDescent="0.25">
      <c r="A763" s="13" t="s">
        <v>7</v>
      </c>
      <c r="B763" s="29">
        <v>45327</v>
      </c>
      <c r="C763" s="20">
        <v>0.13999500000000001</v>
      </c>
      <c r="D763" s="30">
        <f t="shared" ca="1" si="64"/>
        <v>134.97660790115248</v>
      </c>
      <c r="E763" s="31">
        <f>+E760*(1+C762*F763/365)</f>
        <v>134.97660790115248</v>
      </c>
      <c r="F763" s="32">
        <f t="shared" si="65"/>
        <v>3</v>
      </c>
      <c r="G763" s="20">
        <f t="shared" ca="1" si="66"/>
        <v>0.13897235213341741</v>
      </c>
      <c r="H763" s="20">
        <f t="shared" ca="1" si="68"/>
        <v>0.14012204766094641</v>
      </c>
      <c r="I763" s="20">
        <f t="shared" ca="1" si="67"/>
        <v>0.14206532435047664</v>
      </c>
      <c r="J763" s="20">
        <f t="shared" ca="1" si="69"/>
        <v>0.14427776449906202</v>
      </c>
      <c r="K763" s="36">
        <v>14</v>
      </c>
    </row>
    <row r="764" spans="1:14" x14ac:dyDescent="0.25">
      <c r="A764" s="13" t="s">
        <v>7</v>
      </c>
      <c r="B764" s="29">
        <v>45328</v>
      </c>
      <c r="C764" s="20">
        <v>0.13927600000000001</v>
      </c>
      <c r="D764" s="30">
        <f t="shared" ca="1" si="64"/>
        <v>135.02837790176378</v>
      </c>
      <c r="E764" s="31">
        <f>+E763*(1+C763*F764/365)</f>
        <v>135.02837790176378</v>
      </c>
      <c r="F764" s="32">
        <f t="shared" si="65"/>
        <v>1</v>
      </c>
      <c r="G764" s="20">
        <f t="shared" ca="1" si="66"/>
        <v>0.13897707717191424</v>
      </c>
      <c r="H764" s="20">
        <f t="shared" ca="1" si="68"/>
        <v>0.14012187913943447</v>
      </c>
      <c r="I764" s="20">
        <f t="shared" ca="1" si="67"/>
        <v>0.1420652668708676</v>
      </c>
      <c r="J764" s="20">
        <f t="shared" ca="1" si="69"/>
        <v>0.14428587241053645</v>
      </c>
      <c r="K764" s="36">
        <v>14</v>
      </c>
    </row>
    <row r="765" spans="1:14" x14ac:dyDescent="0.25">
      <c r="A765" s="13" t="s">
        <v>7</v>
      </c>
      <c r="B765" s="29">
        <v>45329</v>
      </c>
      <c r="C765" s="20">
        <v>0.14000000000000001</v>
      </c>
      <c r="D765" s="30">
        <f t="shared" ca="1" si="64"/>
        <v>135.07990177124501</v>
      </c>
      <c r="E765" s="31">
        <f>+E764*(1+C764*F765/365)</f>
        <v>135.07990177124501</v>
      </c>
      <c r="F765" s="32">
        <f t="shared" si="65"/>
        <v>1</v>
      </c>
      <c r="G765" s="20">
        <f t="shared" ca="1" si="66"/>
        <v>0.13887341269260453</v>
      </c>
      <c r="H765" s="20">
        <f t="shared" ca="1" si="68"/>
        <v>0.14009928640291214</v>
      </c>
      <c r="I765" s="20">
        <f t="shared" ca="1" si="67"/>
        <v>0.14205694382361039</v>
      </c>
      <c r="J765" s="20">
        <f t="shared" ca="1" si="69"/>
        <v>0.14430486047409738</v>
      </c>
      <c r="K765" s="36">
        <v>14</v>
      </c>
    </row>
    <row r="766" spans="1:14" x14ac:dyDescent="0.25">
      <c r="A766" s="13" t="s">
        <v>7</v>
      </c>
      <c r="B766" s="29">
        <v>45330</v>
      </c>
      <c r="C766" s="20">
        <v>0.14000000000000001</v>
      </c>
      <c r="D766" s="30">
        <f t="shared" ca="1" si="64"/>
        <v>135.13171324041755</v>
      </c>
      <c r="E766" s="31">
        <f>+E765*(1+C765*F766/365)</f>
        <v>135.13171324041755</v>
      </c>
      <c r="F766" s="32">
        <f t="shared" si="65"/>
        <v>1</v>
      </c>
      <c r="G766" s="20">
        <f t="shared" ca="1" si="66"/>
        <v>0.13814290477169786</v>
      </c>
      <c r="H766" s="20">
        <f t="shared" ca="1" si="68"/>
        <v>0.14013299073455932</v>
      </c>
      <c r="I766" s="20">
        <f t="shared" ca="1" si="67"/>
        <v>0.14205694382361039</v>
      </c>
      <c r="J766" s="20">
        <f t="shared" ca="1" si="69"/>
        <v>0.1443325457494597</v>
      </c>
      <c r="K766" s="36">
        <v>14</v>
      </c>
    </row>
    <row r="767" spans="1:14" x14ac:dyDescent="0.25">
      <c r="A767" s="13" t="s">
        <v>7</v>
      </c>
      <c r="B767" s="29">
        <v>45331</v>
      </c>
      <c r="C767" s="20">
        <v>0.14000000000000001</v>
      </c>
      <c r="D767" s="30">
        <f t="shared" ca="1" si="64"/>
        <v>135.18354458248237</v>
      </c>
      <c r="E767" s="31">
        <f>+E766*(1+C766*F767/365)</f>
        <v>135.18354458248237</v>
      </c>
      <c r="F767" s="32">
        <f t="shared" si="65"/>
        <v>1</v>
      </c>
      <c r="G767" s="20">
        <f t="shared" ca="1" si="66"/>
        <v>0.13829023812508373</v>
      </c>
      <c r="H767" s="20">
        <f t="shared" ca="1" si="68"/>
        <v>0.1401397316045796</v>
      </c>
      <c r="I767" s="20">
        <f t="shared" ca="1" si="67"/>
        <v>0.14203891833164736</v>
      </c>
      <c r="J767" s="20">
        <f t="shared" ca="1" si="69"/>
        <v>0.14436052982700331</v>
      </c>
      <c r="K767" s="36">
        <v>14</v>
      </c>
    </row>
    <row r="768" spans="1:14" x14ac:dyDescent="0.25">
      <c r="A768" s="23" t="s">
        <v>6</v>
      </c>
      <c r="B768" s="24">
        <v>45332</v>
      </c>
      <c r="C768" s="28">
        <v>0.14000000000000001</v>
      </c>
      <c r="D768" s="25">
        <f t="shared" ca="1" si="64"/>
        <v>135.23539580506196</v>
      </c>
      <c r="E768" s="26">
        <f>+E767*(1+C767*F768/365)</f>
        <v>135.23539580506196</v>
      </c>
      <c r="F768" s="27">
        <f t="shared" si="65"/>
        <v>1</v>
      </c>
      <c r="G768" s="28">
        <f t="shared" ca="1" si="66"/>
        <v>0.13887184622924406</v>
      </c>
      <c r="H768" s="28">
        <f t="shared" ca="1" si="68"/>
        <v>0.14014782065392434</v>
      </c>
      <c r="I768" s="28">
        <f t="shared" ca="1" si="67"/>
        <v>0.14202152388361908</v>
      </c>
      <c r="J768" s="28">
        <f t="shared" ca="1" si="69"/>
        <v>0.14438881249713406</v>
      </c>
      <c r="K768" s="36">
        <v>14</v>
      </c>
    </row>
    <row r="769" spans="1:11" x14ac:dyDescent="0.25">
      <c r="A769" s="23" t="s">
        <v>6</v>
      </c>
      <c r="B769" s="24">
        <v>45333</v>
      </c>
      <c r="C769" s="28">
        <v>0.14000000000000001</v>
      </c>
      <c r="D769" s="25">
        <f t="shared" ca="1" si="64"/>
        <v>135.28724702764151</v>
      </c>
      <c r="E769" s="26">
        <f>+E767*(1+C768*F769/365)</f>
        <v>135.28724702764151</v>
      </c>
      <c r="F769" s="27">
        <f t="shared" si="65"/>
        <v>2</v>
      </c>
      <c r="G769" s="28">
        <f t="shared" ca="1" si="66"/>
        <v>0.13945302143590307</v>
      </c>
      <c r="H769" s="28">
        <f t="shared" ca="1" si="68"/>
        <v>0.14014601146923375</v>
      </c>
      <c r="I769" s="28">
        <f t="shared" ca="1" si="67"/>
        <v>0.14200414291304247</v>
      </c>
      <c r="J769" s="28">
        <f t="shared" ca="1" si="69"/>
        <v>0.14440294899688194</v>
      </c>
      <c r="K769" s="36">
        <v>14</v>
      </c>
    </row>
    <row r="770" spans="1:11" x14ac:dyDescent="0.25">
      <c r="A770" s="13" t="s">
        <v>7</v>
      </c>
      <c r="B770" s="29">
        <v>45334</v>
      </c>
      <c r="C770" s="20">
        <v>0.14000000000000001</v>
      </c>
      <c r="D770" s="30">
        <f t="shared" ca="1" si="64"/>
        <v>135.33909825022113</v>
      </c>
      <c r="E770" s="31">
        <f>+E767*(1+C769*F770/365)</f>
        <v>135.33909825022113</v>
      </c>
      <c r="F770" s="32">
        <f t="shared" si="65"/>
        <v>3</v>
      </c>
      <c r="G770" s="20">
        <f t="shared" ca="1" si="66"/>
        <v>0.14003376422818919</v>
      </c>
      <c r="H770" s="20">
        <f t="shared" ca="1" si="68"/>
        <v>0.14014239448720006</v>
      </c>
      <c r="I770" s="20">
        <f t="shared" ca="1" si="67"/>
        <v>0.1420029092469087</v>
      </c>
      <c r="J770" s="20">
        <f t="shared" ca="1" si="69"/>
        <v>0.1444284622553435</v>
      </c>
      <c r="K770" s="36">
        <v>14</v>
      </c>
    </row>
    <row r="771" spans="1:11" x14ac:dyDescent="0.25">
      <c r="A771" s="13" t="s">
        <v>7</v>
      </c>
      <c r="B771" s="29">
        <v>45335</v>
      </c>
      <c r="C771" s="20">
        <v>0.14000000000000001</v>
      </c>
      <c r="D771" s="30">
        <f t="shared" ref="D771:D834" ca="1" si="70">+IF(F771=1,D770*(1+C770*F771/365),OFFSET(D770,-F771+1,0)*(1+C770*F771/365))</f>
        <v>135.39100913722123</v>
      </c>
      <c r="E771" s="31">
        <f>+E770*(1+C770*F771/365)</f>
        <v>135.39100913722123</v>
      </c>
      <c r="F771" s="32">
        <f t="shared" si="65"/>
        <v>1</v>
      </c>
      <c r="G771" s="20">
        <f t="shared" ca="1" si="66"/>
        <v>0.1400344801575848</v>
      </c>
      <c r="H771" s="20">
        <f t="shared" ca="1" si="68"/>
        <v>0.14014420367135844</v>
      </c>
      <c r="I771" s="20">
        <f t="shared" ca="1" si="67"/>
        <v>0.1420029092469087</v>
      </c>
      <c r="J771" s="20">
        <f t="shared" ca="1" si="69"/>
        <v>0.14445090794420631</v>
      </c>
      <c r="K771" s="36">
        <v>14</v>
      </c>
    </row>
    <row r="772" spans="1:11" x14ac:dyDescent="0.25">
      <c r="A772" s="13" t="s">
        <v>7</v>
      </c>
      <c r="B772" s="29">
        <v>45336</v>
      </c>
      <c r="C772" s="20">
        <v>0.14000000000000001</v>
      </c>
      <c r="D772" s="30">
        <f t="shared" ca="1" si="70"/>
        <v>135.44293993524647</v>
      </c>
      <c r="E772" s="31">
        <f>+E771*(1+C771*F772/365)</f>
        <v>135.44293993524647</v>
      </c>
      <c r="F772" s="32">
        <f t="shared" si="65"/>
        <v>1</v>
      </c>
      <c r="G772" s="20">
        <f t="shared" ca="1" si="66"/>
        <v>0.14013814693907198</v>
      </c>
      <c r="H772" s="20">
        <f t="shared" ca="1" si="68"/>
        <v>0.14014782065392709</v>
      </c>
      <c r="I772" s="20">
        <f t="shared" ca="1" si="67"/>
        <v>0.14200290924690781</v>
      </c>
      <c r="J772" s="20">
        <f t="shared" ca="1" si="69"/>
        <v>0.1444591533305962</v>
      </c>
      <c r="K772" s="36">
        <v>14</v>
      </c>
    </row>
    <row r="773" spans="1:11" x14ac:dyDescent="0.25">
      <c r="A773" s="13" t="s">
        <v>7</v>
      </c>
      <c r="B773" s="29">
        <v>45337</v>
      </c>
      <c r="C773" s="20">
        <v>0.14000000000000001</v>
      </c>
      <c r="D773" s="30">
        <f t="shared" ca="1" si="70"/>
        <v>135.49489065193399</v>
      </c>
      <c r="E773" s="31">
        <f>+E772*(1+C772*F773/365)</f>
        <v>135.49489065193399</v>
      </c>
      <c r="F773" s="32">
        <f t="shared" si="65"/>
        <v>1</v>
      </c>
      <c r="G773" s="20">
        <f t="shared" ca="1" si="66"/>
        <v>0.14013814693907198</v>
      </c>
      <c r="H773" s="20">
        <f t="shared" ca="1" si="68"/>
        <v>0.14014782065392709</v>
      </c>
      <c r="I773" s="20">
        <f t="shared" ca="1" si="67"/>
        <v>0.1420029092469087</v>
      </c>
      <c r="J773" s="20">
        <f t="shared" ca="1" si="69"/>
        <v>0.14448707259154517</v>
      </c>
      <c r="K773" s="36">
        <v>14</v>
      </c>
    </row>
    <row r="774" spans="1:11" x14ac:dyDescent="0.25">
      <c r="A774" s="13" t="s">
        <v>7</v>
      </c>
      <c r="B774" s="29">
        <v>45338</v>
      </c>
      <c r="C774" s="20">
        <v>0.14000000000000001</v>
      </c>
      <c r="D774" s="30">
        <f t="shared" ca="1" si="70"/>
        <v>135.54686129492379</v>
      </c>
      <c r="E774" s="31">
        <f>+E773*(1+C773*F774/365)</f>
        <v>135.54686129492379</v>
      </c>
      <c r="F774" s="32">
        <f t="shared" si="65"/>
        <v>1</v>
      </c>
      <c r="G774" s="20">
        <f t="shared" ca="1" si="66"/>
        <v>0.14013814693908358</v>
      </c>
      <c r="H774" s="20">
        <f t="shared" ca="1" si="68"/>
        <v>0.14014782065392709</v>
      </c>
      <c r="I774" s="20">
        <f t="shared" ca="1" si="67"/>
        <v>0.1420029092469087</v>
      </c>
      <c r="J774" s="20">
        <f t="shared" ca="1" si="69"/>
        <v>0.14451529050998399</v>
      </c>
      <c r="K774" s="36">
        <v>14</v>
      </c>
    </row>
    <row r="775" spans="1:11" x14ac:dyDescent="0.25">
      <c r="A775" s="23" t="s">
        <v>6</v>
      </c>
      <c r="B775" s="24">
        <v>45339</v>
      </c>
      <c r="C775" s="28">
        <v>0.14000000000000001</v>
      </c>
      <c r="D775" s="25">
        <f t="shared" ca="1" si="70"/>
        <v>135.59885187185884</v>
      </c>
      <c r="E775" s="26">
        <f>+E774*(1+C774*F775/365)</f>
        <v>135.59885187185884</v>
      </c>
      <c r="F775" s="27">
        <f t="shared" ref="F775:F816" si="71">IF(A774="Working day",1,(IF(A773="Working day",2,(IF(A772="Working day",3,IF(A771="Working day",4,IF(A770="Working day",5,6)))))))</f>
        <v>1</v>
      </c>
      <c r="G775" s="28">
        <f t="shared" ca="1" si="66"/>
        <v>0.14013814693908358</v>
      </c>
      <c r="H775" s="28">
        <f t="shared" ca="1" si="68"/>
        <v>0.14014782065392709</v>
      </c>
      <c r="I775" s="28">
        <f t="shared" ca="1" si="67"/>
        <v>0.14200352631638896</v>
      </c>
      <c r="J775" s="28">
        <f t="shared" ca="1" si="69"/>
        <v>0.14454380687658225</v>
      </c>
      <c r="K775" s="36">
        <v>14</v>
      </c>
    </row>
    <row r="776" spans="1:11" x14ac:dyDescent="0.25">
      <c r="A776" s="23" t="s">
        <v>6</v>
      </c>
      <c r="B776" s="24">
        <v>45340</v>
      </c>
      <c r="C776" s="28">
        <v>0.14000000000000001</v>
      </c>
      <c r="D776" s="25">
        <f t="shared" ca="1" si="70"/>
        <v>135.65084244879387</v>
      </c>
      <c r="E776" s="26">
        <f>+E774*(1+C775*F776/365)</f>
        <v>135.65084244879387</v>
      </c>
      <c r="F776" s="27">
        <f t="shared" si="71"/>
        <v>2</v>
      </c>
      <c r="G776" s="28">
        <f t="shared" ca="1" si="66"/>
        <v>0.14013814693908358</v>
      </c>
      <c r="H776" s="28">
        <f t="shared" ca="1" si="68"/>
        <v>0.14014601146923913</v>
      </c>
      <c r="I776" s="28">
        <f t="shared" ca="1" si="67"/>
        <v>0.14200414291304428</v>
      </c>
      <c r="J776" s="28">
        <f t="shared" ca="1" si="69"/>
        <v>0.14457323435396879</v>
      </c>
      <c r="K776" s="36">
        <v>14</v>
      </c>
    </row>
    <row r="777" spans="1:11" x14ac:dyDescent="0.25">
      <c r="A777" s="13" t="s">
        <v>7</v>
      </c>
      <c r="B777" s="29">
        <v>45341</v>
      </c>
      <c r="C777" s="20">
        <v>0.14000000000000001</v>
      </c>
      <c r="D777" s="30">
        <f t="shared" ca="1" si="70"/>
        <v>135.70283302572889</v>
      </c>
      <c r="E777" s="31">
        <f>+E774*(1+C776*F777/365)</f>
        <v>135.70283302572889</v>
      </c>
      <c r="F777" s="32">
        <f t="shared" si="71"/>
        <v>3</v>
      </c>
      <c r="G777" s="20">
        <f t="shared" ref="G777:G840" ca="1" si="72">(D777/OFFSET(D777,-7,0)-1)*365/7</f>
        <v>0.14013814693907198</v>
      </c>
      <c r="H777" s="20">
        <f t="shared" ca="1" si="68"/>
        <v>0.14014239448720006</v>
      </c>
      <c r="I777" s="20">
        <f t="shared" ca="1" si="67"/>
        <v>0.1420029092469087</v>
      </c>
      <c r="J777" s="20">
        <f t="shared" ca="1" si="69"/>
        <v>0.14459543574263023</v>
      </c>
      <c r="K777" s="36">
        <v>14</v>
      </c>
    </row>
    <row r="778" spans="1:11" x14ac:dyDescent="0.25">
      <c r="A778" s="13" t="s">
        <v>7</v>
      </c>
      <c r="B778" s="29">
        <v>45342</v>
      </c>
      <c r="C778" s="20">
        <v>0.14000000000000001</v>
      </c>
      <c r="D778" s="30">
        <f t="shared" ca="1" si="70"/>
        <v>135.75488342743739</v>
      </c>
      <c r="E778" s="31">
        <f>+E777*(1+C777*F778/365)</f>
        <v>135.75488342743739</v>
      </c>
      <c r="F778" s="32">
        <f t="shared" si="71"/>
        <v>1</v>
      </c>
      <c r="G778" s="20">
        <f t="shared" ca="1" si="72"/>
        <v>0.1401381469390604</v>
      </c>
      <c r="H778" s="20">
        <f t="shared" ca="1" si="68"/>
        <v>0.14014420367135574</v>
      </c>
      <c r="I778" s="20">
        <f t="shared" ca="1" si="67"/>
        <v>0.1420029092469087</v>
      </c>
      <c r="J778" s="20">
        <f t="shared" ca="1" si="69"/>
        <v>0.14462518327728899</v>
      </c>
      <c r="K778" s="36">
        <v>14</v>
      </c>
    </row>
    <row r="779" spans="1:11" x14ac:dyDescent="0.25">
      <c r="A779" s="13" t="s">
        <v>7</v>
      </c>
      <c r="B779" s="29">
        <v>45343</v>
      </c>
      <c r="C779" s="20">
        <v>0.14000000000000001</v>
      </c>
      <c r="D779" s="30">
        <f t="shared" ca="1" si="70"/>
        <v>135.80695379368353</v>
      </c>
      <c r="E779" s="31">
        <f>+E778*(1+C778*F779/365)</f>
        <v>135.80695379368353</v>
      </c>
      <c r="F779" s="32">
        <f t="shared" si="71"/>
        <v>1</v>
      </c>
      <c r="G779" s="20">
        <f t="shared" ca="1" si="72"/>
        <v>0.1401381469390604</v>
      </c>
      <c r="H779" s="20">
        <f t="shared" ca="1" si="68"/>
        <v>0.14014782065392434</v>
      </c>
      <c r="I779" s="20">
        <f t="shared" ca="1" si="67"/>
        <v>0.14200290924690781</v>
      </c>
      <c r="J779" s="20">
        <f t="shared" ca="1" si="69"/>
        <v>0.14465493121929759</v>
      </c>
      <c r="K779" s="36">
        <v>14</v>
      </c>
    </row>
    <row r="780" spans="1:11" x14ac:dyDescent="0.25">
      <c r="A780" s="13" t="s">
        <v>7</v>
      </c>
      <c r="B780" s="29">
        <v>45344</v>
      </c>
      <c r="C780" s="20">
        <v>0.14000000000000001</v>
      </c>
      <c r="D780" s="30">
        <f t="shared" ca="1" si="70"/>
        <v>135.85904413212495</v>
      </c>
      <c r="E780" s="31">
        <f>+E779*(1+C779*F780/365)</f>
        <v>135.85904413212495</v>
      </c>
      <c r="F780" s="32">
        <f t="shared" si="71"/>
        <v>1</v>
      </c>
      <c r="G780" s="20">
        <f t="shared" ca="1" si="72"/>
        <v>0.14013814693904883</v>
      </c>
      <c r="H780" s="20">
        <f t="shared" ca="1" si="68"/>
        <v>0.14014782065392434</v>
      </c>
      <c r="I780" s="20">
        <f t="shared" ca="1" si="67"/>
        <v>0.14200290924690781</v>
      </c>
      <c r="J780" s="20">
        <f t="shared" ca="1" si="69"/>
        <v>0.14468235916811539</v>
      </c>
      <c r="K780" s="36">
        <v>14</v>
      </c>
    </row>
    <row r="781" spans="1:11" x14ac:dyDescent="0.25">
      <c r="A781" s="13" t="s">
        <v>7</v>
      </c>
      <c r="B781" s="29">
        <v>45345</v>
      </c>
      <c r="C781" s="20">
        <v>0.14000000000000001</v>
      </c>
      <c r="D781" s="30">
        <f t="shared" ca="1" si="70"/>
        <v>135.9111544504222</v>
      </c>
      <c r="E781" s="31">
        <f>+E780*(1+C780*F781/365)</f>
        <v>135.9111544504222</v>
      </c>
      <c r="F781" s="32">
        <f t="shared" si="71"/>
        <v>1</v>
      </c>
      <c r="G781" s="20">
        <f t="shared" ca="1" si="72"/>
        <v>0.14013814693904883</v>
      </c>
      <c r="H781" s="20">
        <f t="shared" ca="1" si="68"/>
        <v>0.14015351669547044</v>
      </c>
      <c r="I781" s="20">
        <f t="shared" ca="1" si="67"/>
        <v>0.14200290924690689</v>
      </c>
      <c r="J781" s="20">
        <f t="shared" ca="1" si="69"/>
        <v>0.14471008615459674</v>
      </c>
      <c r="K781" s="36">
        <v>14</v>
      </c>
    </row>
    <row r="782" spans="1:11" x14ac:dyDescent="0.25">
      <c r="A782" s="23" t="s">
        <v>6</v>
      </c>
      <c r="B782" s="24">
        <v>45346</v>
      </c>
      <c r="C782" s="28">
        <v>0.14000000000000001</v>
      </c>
      <c r="D782" s="25">
        <f t="shared" ca="1" si="70"/>
        <v>135.96328475623881</v>
      </c>
      <c r="E782" s="26">
        <f>+E781*(1+C781*F782/365)</f>
        <v>135.96328475623881</v>
      </c>
      <c r="F782" s="27">
        <f t="shared" si="71"/>
        <v>1</v>
      </c>
      <c r="G782" s="28">
        <f t="shared" ca="1" si="72"/>
        <v>0.14013814693903726</v>
      </c>
      <c r="H782" s="28">
        <f t="shared" ca="1" si="68"/>
        <v>0.14015584229867398</v>
      </c>
      <c r="I782" s="28">
        <f t="shared" ca="1" si="67"/>
        <v>0.14200352631638805</v>
      </c>
      <c r="J782" s="28">
        <f t="shared" ca="1" si="69"/>
        <v>0.14473811196879621</v>
      </c>
      <c r="K782" s="36">
        <v>14</v>
      </c>
    </row>
    <row r="783" spans="1:11" x14ac:dyDescent="0.25">
      <c r="A783" s="23" t="s">
        <v>6</v>
      </c>
      <c r="B783" s="24">
        <v>45347</v>
      </c>
      <c r="C783" s="28">
        <v>0.14000000000000001</v>
      </c>
      <c r="D783" s="25">
        <f t="shared" ca="1" si="70"/>
        <v>136.01541506205538</v>
      </c>
      <c r="E783" s="26">
        <f>+E781*(1+C782*F783/365)</f>
        <v>136.01541506205538</v>
      </c>
      <c r="F783" s="27">
        <f t="shared" si="71"/>
        <v>2</v>
      </c>
      <c r="G783" s="28">
        <f t="shared" ca="1" si="72"/>
        <v>0.14013814693903726</v>
      </c>
      <c r="H783" s="28">
        <f t="shared" ca="1" si="68"/>
        <v>0.14030310943235402</v>
      </c>
      <c r="I783" s="28">
        <f t="shared" ca="1" si="67"/>
        <v>0.14200414291304159</v>
      </c>
      <c r="J783" s="28">
        <f t="shared" ca="1" si="69"/>
        <v>0.14475139990720778</v>
      </c>
      <c r="K783" s="36">
        <v>14</v>
      </c>
    </row>
    <row r="784" spans="1:11" x14ac:dyDescent="0.25">
      <c r="A784" s="13" t="s">
        <v>7</v>
      </c>
      <c r="B784" s="29">
        <v>45348</v>
      </c>
      <c r="C784" s="20">
        <v>0.14000000000000001</v>
      </c>
      <c r="D784" s="30">
        <f t="shared" ca="1" si="70"/>
        <v>136.06754536787201</v>
      </c>
      <c r="E784" s="31">
        <f>+E781*(1+C783*F784/365)</f>
        <v>136.06754536787201</v>
      </c>
      <c r="F784" s="32">
        <f t="shared" si="71"/>
        <v>3</v>
      </c>
      <c r="G784" s="20">
        <f t="shared" ca="1" si="72"/>
        <v>0.1401381469390604</v>
      </c>
      <c r="H784" s="20">
        <f t="shared" ca="1" si="68"/>
        <v>0.14035146540617305</v>
      </c>
      <c r="I784" s="20">
        <f t="shared" ca="1" si="67"/>
        <v>0.1420029092469087</v>
      </c>
      <c r="J784" s="20">
        <f t="shared" ca="1" si="69"/>
        <v>0.14475917452083542</v>
      </c>
      <c r="K784" s="36">
        <v>14</v>
      </c>
    </row>
    <row r="785" spans="1:11" x14ac:dyDescent="0.25">
      <c r="A785" s="13" t="s">
        <v>7</v>
      </c>
      <c r="B785" s="29">
        <v>45349</v>
      </c>
      <c r="C785" s="20">
        <v>0.14000000000000001</v>
      </c>
      <c r="D785" s="30">
        <f t="shared" ca="1" si="70"/>
        <v>136.119735659246</v>
      </c>
      <c r="E785" s="31">
        <f>+E784*(1+C784*F785/365)</f>
        <v>136.119735659246</v>
      </c>
      <c r="F785" s="32">
        <f t="shared" si="71"/>
        <v>1</v>
      </c>
      <c r="G785" s="20">
        <f t="shared" ca="1" si="72"/>
        <v>0.1401381469390604</v>
      </c>
      <c r="H785" s="20">
        <f t="shared" ca="1" si="68"/>
        <v>0.14040520823005523</v>
      </c>
      <c r="I785" s="20">
        <f t="shared" ca="1" si="67"/>
        <v>0.1420029092469087</v>
      </c>
      <c r="J785" s="20">
        <f t="shared" ca="1" si="69"/>
        <v>0.14476477336659543</v>
      </c>
      <c r="K785" s="36">
        <v>14</v>
      </c>
    </row>
    <row r="786" spans="1:11" x14ac:dyDescent="0.25">
      <c r="A786" s="13" t="s">
        <v>7</v>
      </c>
      <c r="B786" s="29">
        <v>45350</v>
      </c>
      <c r="C786" s="20">
        <v>0.14000000000000001</v>
      </c>
      <c r="D786" s="30">
        <f t="shared" ca="1" si="70"/>
        <v>136.17194596881393</v>
      </c>
      <c r="E786" s="31">
        <f>+E785*(1+C785*F786/365)</f>
        <v>136.17194596881393</v>
      </c>
      <c r="F786" s="32">
        <f t="shared" si="71"/>
        <v>1</v>
      </c>
      <c r="G786" s="20">
        <f t="shared" ca="1" si="72"/>
        <v>0.1401381469390604</v>
      </c>
      <c r="H786" s="20">
        <f t="shared" ca="1" si="68"/>
        <v>0.14046071955767972</v>
      </c>
      <c r="I786" s="20">
        <f t="shared" ca="1" si="67"/>
        <v>0.14200624301730227</v>
      </c>
      <c r="J786" s="20">
        <f t="shared" ca="1" si="69"/>
        <v>0.14476477336659499</v>
      </c>
      <c r="K786" s="36">
        <v>14</v>
      </c>
    </row>
    <row r="787" spans="1:11" x14ac:dyDescent="0.25">
      <c r="A787" s="13" t="s">
        <v>7</v>
      </c>
      <c r="B787" s="29">
        <v>45351</v>
      </c>
      <c r="C787" s="20">
        <v>0.14000000000000001</v>
      </c>
      <c r="D787" s="30">
        <f t="shared" ca="1" si="70"/>
        <v>136.22417630425403</v>
      </c>
      <c r="E787" s="31">
        <f>+E786*(1+C786*F787/365)</f>
        <v>136.22417630425403</v>
      </c>
      <c r="F787" s="32">
        <f t="shared" si="71"/>
        <v>1</v>
      </c>
      <c r="G787" s="20">
        <f t="shared" ca="1" si="72"/>
        <v>0.1401381469390604</v>
      </c>
      <c r="H787" s="20">
        <f t="shared" ca="1" si="68"/>
        <v>0.14046200035652576</v>
      </c>
      <c r="I787" s="20">
        <f t="shared" ca="1" si="67"/>
        <v>0.14187878190119974</v>
      </c>
      <c r="J787" s="20">
        <f t="shared" ca="1" si="69"/>
        <v>0.14476509274504204</v>
      </c>
      <c r="K787" s="36">
        <v>14</v>
      </c>
    </row>
    <row r="788" spans="1:11" x14ac:dyDescent="0.25">
      <c r="A788" s="13" t="s">
        <v>7</v>
      </c>
      <c r="B788" s="29">
        <v>45352</v>
      </c>
      <c r="C788" s="20">
        <v>0.14000000000000001</v>
      </c>
      <c r="D788" s="30">
        <f t="shared" ca="1" si="70"/>
        <v>136.27642667324744</v>
      </c>
      <c r="E788" s="31">
        <f>+E787*(1+C787*F788/365)</f>
        <v>136.27642667324744</v>
      </c>
      <c r="F788" s="32">
        <f t="shared" si="71"/>
        <v>1</v>
      </c>
      <c r="G788" s="20">
        <f t="shared" ca="1" si="72"/>
        <v>0.1401381469390604</v>
      </c>
      <c r="H788" s="20">
        <f t="shared" ca="1" si="68"/>
        <v>0.14046200035652576</v>
      </c>
      <c r="I788" s="20">
        <f t="shared" ca="1" si="67"/>
        <v>0.14187878190119974</v>
      </c>
      <c r="J788" s="20">
        <f t="shared" ca="1" si="69"/>
        <v>0.14476573125730732</v>
      </c>
      <c r="K788" s="36">
        <v>14</v>
      </c>
    </row>
    <row r="789" spans="1:11" x14ac:dyDescent="0.25">
      <c r="A789" s="23" t="s">
        <v>6</v>
      </c>
      <c r="B789" s="24">
        <v>45353</v>
      </c>
      <c r="C789" s="28">
        <v>0.14000000000000001</v>
      </c>
      <c r="D789" s="25">
        <f t="shared" ca="1" si="70"/>
        <v>136.32869708347829</v>
      </c>
      <c r="E789" s="26">
        <f>+E788*(1+C788*F789/365)</f>
        <v>136.32869708347829</v>
      </c>
      <c r="F789" s="27">
        <f t="shared" si="71"/>
        <v>1</v>
      </c>
      <c r="G789" s="28">
        <f t="shared" ca="1" si="72"/>
        <v>0.1401381469390604</v>
      </c>
      <c r="H789" s="28">
        <f t="shared" ca="1" si="68"/>
        <v>0.14029003866207779</v>
      </c>
      <c r="I789" s="28">
        <f t="shared" ca="1" si="67"/>
        <v>0.14187939895243198</v>
      </c>
      <c r="J789" s="28">
        <f t="shared" ca="1" si="69"/>
        <v>0.14476668865918679</v>
      </c>
      <c r="K789" s="36">
        <v>14</v>
      </c>
    </row>
    <row r="790" spans="1:11" x14ac:dyDescent="0.25">
      <c r="A790" s="23" t="s">
        <v>6</v>
      </c>
      <c r="B790" s="24">
        <v>45354</v>
      </c>
      <c r="C790" s="28">
        <v>0.14000000000000001</v>
      </c>
      <c r="D790" s="25">
        <f t="shared" ca="1" si="70"/>
        <v>136.38096749370911</v>
      </c>
      <c r="E790" s="26">
        <f>+E788*(1+C789*F790/365)</f>
        <v>136.38096749370911</v>
      </c>
      <c r="F790" s="27">
        <f t="shared" si="71"/>
        <v>2</v>
      </c>
      <c r="G790" s="28">
        <f t="shared" ca="1" si="72"/>
        <v>0.1401381469390604</v>
      </c>
      <c r="H790" s="28">
        <f t="shared" ca="1" si="68"/>
        <v>0.14032291174896486</v>
      </c>
      <c r="I790" s="28">
        <f t="shared" ca="1" si="67"/>
        <v>0.14188001553085369</v>
      </c>
      <c r="J790" s="28">
        <f t="shared" ca="1" si="69"/>
        <v>0.14476636928050562</v>
      </c>
      <c r="K790" s="36">
        <v>14</v>
      </c>
    </row>
    <row r="791" spans="1:11" ht="19.5" customHeight="1" x14ac:dyDescent="0.25">
      <c r="A791" s="13" t="s">
        <v>7</v>
      </c>
      <c r="B791" s="29">
        <v>45355</v>
      </c>
      <c r="C791" s="20">
        <v>0.14000000000000001</v>
      </c>
      <c r="D791" s="30">
        <f t="shared" ca="1" si="70"/>
        <v>136.43323790393995</v>
      </c>
      <c r="E791" s="31">
        <f>+E788*(1+C790*F791/365)</f>
        <v>136.43323790393995</v>
      </c>
      <c r="F791" s="32">
        <f t="shared" si="71"/>
        <v>3</v>
      </c>
      <c r="G791" s="20">
        <f t="shared" ca="1" si="72"/>
        <v>0.1401381469390604</v>
      </c>
      <c r="H791" s="20">
        <f t="shared" ca="1" si="68"/>
        <v>0.14045620530568764</v>
      </c>
      <c r="I791" s="20">
        <f t="shared" ca="1" si="67"/>
        <v>0.14187878190119974</v>
      </c>
      <c r="J791" s="20">
        <f t="shared" ca="1" si="69"/>
        <v>0.14476573076805255</v>
      </c>
      <c r="K791" s="36">
        <v>14</v>
      </c>
    </row>
    <row r="792" spans="1:11" x14ac:dyDescent="0.25">
      <c r="A792" s="13" t="s">
        <v>7</v>
      </c>
      <c r="B792" s="29">
        <v>45356</v>
      </c>
      <c r="C792" s="20">
        <v>0.14000000000000001</v>
      </c>
      <c r="D792" s="30">
        <f t="shared" ca="1" si="70"/>
        <v>136.48556846094422</v>
      </c>
      <c r="E792" s="31">
        <f>+E791*(1+C791*F792/365)</f>
        <v>136.48556846094422</v>
      </c>
      <c r="F792" s="32">
        <f t="shared" si="71"/>
        <v>1</v>
      </c>
      <c r="G792" s="20">
        <f t="shared" ca="1" si="72"/>
        <v>0.1401381469390604</v>
      </c>
      <c r="H792" s="20">
        <f t="shared" ca="1" si="68"/>
        <v>0.14059482324273251</v>
      </c>
      <c r="I792" s="20">
        <f t="shared" ca="1" si="67"/>
        <v>0.14187878190119974</v>
      </c>
      <c r="J792" s="20">
        <f t="shared" ca="1" si="69"/>
        <v>0.14477015749660585</v>
      </c>
      <c r="K792" s="36">
        <v>14</v>
      </c>
    </row>
    <row r="793" spans="1:11" x14ac:dyDescent="0.25">
      <c r="A793" s="13" t="s">
        <v>7</v>
      </c>
      <c r="B793" s="29">
        <v>45357</v>
      </c>
      <c r="C793" s="20">
        <v>0.14000000000000001</v>
      </c>
      <c r="D793" s="30">
        <f t="shared" ca="1" si="70"/>
        <v>136.53791908994296</v>
      </c>
      <c r="E793" s="31">
        <f>+E792*(1+C792*F793/365)</f>
        <v>136.53791908994296</v>
      </c>
      <c r="F793" s="32">
        <f t="shared" si="71"/>
        <v>1</v>
      </c>
      <c r="G793" s="20">
        <f t="shared" ca="1" si="72"/>
        <v>0.14013814693907198</v>
      </c>
      <c r="H793" s="20">
        <f t="shared" ca="1" si="68"/>
        <v>0.14073514731428408</v>
      </c>
      <c r="I793" s="20">
        <f t="shared" ca="1" si="67"/>
        <v>0.14187878190119974</v>
      </c>
      <c r="J793" s="20">
        <f t="shared" ca="1" si="69"/>
        <v>0.14477015749660629</v>
      </c>
      <c r="K793" s="36">
        <v>14</v>
      </c>
    </row>
    <row r="794" spans="1:11" x14ac:dyDescent="0.25">
      <c r="A794" s="13" t="s">
        <v>7</v>
      </c>
      <c r="B794" s="29">
        <v>45358</v>
      </c>
      <c r="C794" s="20">
        <v>0.14000000000000001</v>
      </c>
      <c r="D794" s="30">
        <f t="shared" ca="1" si="70"/>
        <v>136.59028979863501</v>
      </c>
      <c r="E794" s="31">
        <f>+E793*(1+C793*F794/365)</f>
        <v>136.59028979863501</v>
      </c>
      <c r="F794" s="32">
        <f t="shared" si="71"/>
        <v>1</v>
      </c>
      <c r="G794" s="20">
        <f t="shared" ca="1" si="72"/>
        <v>0.14013814693907198</v>
      </c>
      <c r="H794" s="20">
        <f t="shared" ca="1" si="68"/>
        <v>0.14073531584418966</v>
      </c>
      <c r="I794" s="20">
        <f t="shared" ca="1" si="67"/>
        <v>0.14187795423177918</v>
      </c>
      <c r="J794" s="20">
        <f t="shared" ca="1" si="69"/>
        <v>0.14477015749660629</v>
      </c>
      <c r="K794" s="36">
        <v>14</v>
      </c>
    </row>
    <row r="795" spans="1:11" x14ac:dyDescent="0.25">
      <c r="A795" s="23" t="s">
        <v>6</v>
      </c>
      <c r="B795" s="24">
        <v>45359</v>
      </c>
      <c r="C795" s="28">
        <v>0.14000000000000001</v>
      </c>
      <c r="D795" s="25">
        <f t="shared" ca="1" si="70"/>
        <v>136.64268059472218</v>
      </c>
      <c r="E795" s="26">
        <f>+E794*(1+C794*F795/365)</f>
        <v>136.64268059472218</v>
      </c>
      <c r="F795" s="27">
        <f t="shared" si="71"/>
        <v>1</v>
      </c>
      <c r="G795" s="28">
        <f t="shared" ca="1" si="72"/>
        <v>0.14013814693908358</v>
      </c>
      <c r="H795" s="28">
        <f t="shared" ca="1" si="68"/>
        <v>0.14075971902298157</v>
      </c>
      <c r="I795" s="28">
        <f t="shared" ca="1" si="67"/>
        <v>0.14187774424811025</v>
      </c>
      <c r="J795" s="28">
        <f t="shared" ca="1" si="69"/>
        <v>0.14477047687584488</v>
      </c>
      <c r="K795" s="36">
        <v>14</v>
      </c>
    </row>
    <row r="796" spans="1:11" x14ac:dyDescent="0.25">
      <c r="A796" s="23" t="s">
        <v>6</v>
      </c>
      <c r="B796" s="24">
        <v>45360</v>
      </c>
      <c r="C796" s="28">
        <v>0.14000000000000001</v>
      </c>
      <c r="D796" s="25">
        <f t="shared" ca="1" si="70"/>
        <v>136.69507139080929</v>
      </c>
      <c r="E796" s="26">
        <f>+E794*(1+C795*F796/365)</f>
        <v>136.69507139080929</v>
      </c>
      <c r="F796" s="27">
        <f t="shared" si="71"/>
        <v>2</v>
      </c>
      <c r="G796" s="28">
        <f t="shared" ca="1" si="72"/>
        <v>0.14013046098633011</v>
      </c>
      <c r="H796" s="28">
        <f t="shared" ca="1" si="68"/>
        <v>0.14075790974833768</v>
      </c>
      <c r="I796" s="28">
        <f t="shared" ref="I796:I859" ca="1" si="73">($D796/OFFSET($D796,-90,0)-1)*365/90</f>
        <v>0.14187753442541998</v>
      </c>
      <c r="J796" s="28">
        <f t="shared" ca="1" si="69"/>
        <v>0.14477079601036016</v>
      </c>
      <c r="K796" s="36">
        <v>14</v>
      </c>
    </row>
    <row r="797" spans="1:11" x14ac:dyDescent="0.25">
      <c r="A797" s="23" t="s">
        <v>6</v>
      </c>
      <c r="B797" s="24">
        <v>45361</v>
      </c>
      <c r="C797" s="28">
        <v>0.14000000000000001</v>
      </c>
      <c r="D797" s="25">
        <f t="shared" ca="1" si="70"/>
        <v>136.74746218689646</v>
      </c>
      <c r="E797" s="26">
        <f>+E795*(1+C796*F797/365)</f>
        <v>136.79991326828323</v>
      </c>
      <c r="F797" s="27">
        <f t="shared" si="71"/>
        <v>3</v>
      </c>
      <c r="G797" s="28">
        <f t="shared" ca="1" si="72"/>
        <v>0.14012278092516658</v>
      </c>
      <c r="H797" s="28">
        <f t="shared" ca="1" si="68"/>
        <v>0.14075429258646499</v>
      </c>
      <c r="I797" s="28">
        <f t="shared" ca="1" si="73"/>
        <v>0.14187732476352821</v>
      </c>
      <c r="J797" s="28">
        <f t="shared" ca="1" si="69"/>
        <v>0.14477015749660629</v>
      </c>
      <c r="K797" s="36">
        <v>14</v>
      </c>
    </row>
    <row r="798" spans="1:11" x14ac:dyDescent="0.25">
      <c r="A798" s="13" t="s">
        <v>7</v>
      </c>
      <c r="B798" s="29">
        <v>45362</v>
      </c>
      <c r="C798" s="20">
        <v>0.14000000000000001</v>
      </c>
      <c r="D798" s="30">
        <f t="shared" ca="1" si="70"/>
        <v>136.79985298298362</v>
      </c>
      <c r="E798" s="31">
        <f>+E794*(1+C797*F798/365)</f>
        <v>136.79985298298362</v>
      </c>
      <c r="F798" s="32">
        <f t="shared" si="71"/>
        <v>4</v>
      </c>
      <c r="G798" s="20">
        <f t="shared" ca="1" si="72"/>
        <v>0.1401151067487735</v>
      </c>
      <c r="H798" s="20">
        <f t="shared" ca="1" si="68"/>
        <v>0.14074886892396271</v>
      </c>
      <c r="I798" s="20">
        <f t="shared" ca="1" si="73"/>
        <v>0.14187547502917797</v>
      </c>
      <c r="J798" s="20">
        <f t="shared" ca="1" si="69"/>
        <v>0.14476920009319821</v>
      </c>
      <c r="K798" s="36">
        <v>14</v>
      </c>
    </row>
    <row r="799" spans="1:11" x14ac:dyDescent="0.25">
      <c r="A799" s="13" t="s">
        <v>7</v>
      </c>
      <c r="B799" s="29">
        <v>45363</v>
      </c>
      <c r="C799" s="20">
        <v>0.14000000000000001</v>
      </c>
      <c r="D799" s="30">
        <f t="shared" ca="1" si="70"/>
        <v>136.85232415947024</v>
      </c>
      <c r="E799" s="31">
        <f>+E798*(1+C798*F799/365)</f>
        <v>136.85232415947024</v>
      </c>
      <c r="F799" s="32">
        <f t="shared" si="71"/>
        <v>1</v>
      </c>
      <c r="G799" s="20">
        <f t="shared" ca="1" si="72"/>
        <v>0.1401151067487619</v>
      </c>
      <c r="H799" s="20">
        <f t="shared" ca="1" si="68"/>
        <v>0.14075067819727469</v>
      </c>
      <c r="I799" s="20">
        <f t="shared" ca="1" si="73"/>
        <v>0.14187547502917708</v>
      </c>
      <c r="J799" s="20">
        <f t="shared" ca="1" si="69"/>
        <v>0.14476920009319821</v>
      </c>
      <c r="K799" s="36">
        <v>14</v>
      </c>
    </row>
    <row r="800" spans="1:11" x14ac:dyDescent="0.25">
      <c r="A800" s="13" t="s">
        <v>7</v>
      </c>
      <c r="B800" s="29">
        <v>45364</v>
      </c>
      <c r="C800" s="20">
        <v>0.14000000000000001</v>
      </c>
      <c r="D800" s="30">
        <f t="shared" ca="1" si="70"/>
        <v>136.90481546188758</v>
      </c>
      <c r="E800" s="31">
        <f>+E799*(1+C799*F800/365)</f>
        <v>136.90481546188758</v>
      </c>
      <c r="F800" s="32">
        <f t="shared" si="71"/>
        <v>1</v>
      </c>
      <c r="G800" s="20">
        <f t="shared" ca="1" si="72"/>
        <v>0.1401151067487619</v>
      </c>
      <c r="H800" s="20">
        <f t="shared" ref="H800:H863" ca="1" si="74">($D800/OFFSET($D800,-30,0)-1)*365/30</f>
        <v>0.1407542953580857</v>
      </c>
      <c r="I800" s="20">
        <f t="shared" ca="1" si="73"/>
        <v>0.14187547502917708</v>
      </c>
      <c r="J800" s="20">
        <f t="shared" ca="1" si="69"/>
        <v>0.14476920009319821</v>
      </c>
      <c r="K800" s="36">
        <v>14</v>
      </c>
    </row>
    <row r="801" spans="1:11" x14ac:dyDescent="0.25">
      <c r="A801" s="13" t="s">
        <v>7</v>
      </c>
      <c r="B801" s="29">
        <v>45365</v>
      </c>
      <c r="C801" s="20">
        <v>0.14000000000000001</v>
      </c>
      <c r="D801" s="30">
        <f t="shared" ca="1" si="70"/>
        <v>136.95732689795517</v>
      </c>
      <c r="E801" s="31">
        <f>+E800*(1+C800*F801/365)</f>
        <v>136.95732689795517</v>
      </c>
      <c r="F801" s="32">
        <f t="shared" si="71"/>
        <v>1</v>
      </c>
      <c r="G801" s="20">
        <f t="shared" ca="1" si="72"/>
        <v>0.1401151067487619</v>
      </c>
      <c r="H801" s="20">
        <f t="shared" ca="1" si="74"/>
        <v>0.1407542953580857</v>
      </c>
      <c r="I801" s="20">
        <f t="shared" ca="1" si="73"/>
        <v>0.14187547502917708</v>
      </c>
      <c r="J801" s="20">
        <f t="shared" ca="1" si="69"/>
        <v>0.14476964633589112</v>
      </c>
      <c r="K801" s="36">
        <v>14</v>
      </c>
    </row>
    <row r="802" spans="1:11" x14ac:dyDescent="0.25">
      <c r="A802" s="13" t="s">
        <v>7</v>
      </c>
      <c r="B802" s="29">
        <v>45366</v>
      </c>
      <c r="C802" s="20">
        <v>0.14000000000000001</v>
      </c>
      <c r="D802" s="30">
        <f t="shared" ca="1" si="70"/>
        <v>137.0098584753955</v>
      </c>
      <c r="E802" s="31">
        <f>+E801*(1+C801*F802/365)</f>
        <v>137.0098584753955</v>
      </c>
      <c r="F802" s="32">
        <f t="shared" si="71"/>
        <v>1</v>
      </c>
      <c r="G802" s="20">
        <f t="shared" ca="1" si="72"/>
        <v>0.1401151067487619</v>
      </c>
      <c r="H802" s="20">
        <f t="shared" ca="1" si="74"/>
        <v>0.1407542953580857</v>
      </c>
      <c r="I802" s="20">
        <f t="shared" ca="1" si="73"/>
        <v>0.14187547502917797</v>
      </c>
      <c r="J802" s="20">
        <f t="shared" ca="1" si="69"/>
        <v>0.14477041161593471</v>
      </c>
      <c r="K802" s="36">
        <v>14</v>
      </c>
    </row>
    <row r="803" spans="1:11" x14ac:dyDescent="0.25">
      <c r="A803" s="23" t="s">
        <v>6</v>
      </c>
      <c r="B803" s="24">
        <v>45367</v>
      </c>
      <c r="C803" s="28">
        <v>0.14000000000000001</v>
      </c>
      <c r="D803" s="25">
        <f t="shared" ca="1" si="70"/>
        <v>137.06241020193403</v>
      </c>
      <c r="E803" s="26">
        <f>+E802*(1+C802*F803/365)</f>
        <v>137.06241020193403</v>
      </c>
      <c r="F803" s="27">
        <f t="shared" si="71"/>
        <v>1</v>
      </c>
      <c r="G803" s="28">
        <f t="shared" ca="1" si="72"/>
        <v>0.14012279269925765</v>
      </c>
      <c r="H803" s="28">
        <f t="shared" ca="1" si="74"/>
        <v>0.1407542953580857</v>
      </c>
      <c r="I803" s="28">
        <f t="shared" ca="1" si="73"/>
        <v>0.14187609207992391</v>
      </c>
      <c r="J803" s="28">
        <f t="shared" ca="1" si="69"/>
        <v>0.14477149568929054</v>
      </c>
      <c r="K803" s="36">
        <v>14</v>
      </c>
    </row>
    <row r="804" spans="1:11" x14ac:dyDescent="0.25">
      <c r="A804" s="23" t="s">
        <v>6</v>
      </c>
      <c r="B804" s="24">
        <v>45368</v>
      </c>
      <c r="C804" s="28">
        <v>0.14000000000000001</v>
      </c>
      <c r="D804" s="25">
        <f t="shared" ca="1" si="70"/>
        <v>137.1149619284725</v>
      </c>
      <c r="E804" s="26">
        <f>+E802*(1+C803*F804/365)</f>
        <v>137.1149619284725</v>
      </c>
      <c r="F804" s="27">
        <f t="shared" si="71"/>
        <v>2</v>
      </c>
      <c r="G804" s="28">
        <f t="shared" ca="1" si="72"/>
        <v>0.1401304727604096</v>
      </c>
      <c r="H804" s="28">
        <f t="shared" ca="1" si="74"/>
        <v>0.14075248608423876</v>
      </c>
      <c r="I804" s="28">
        <f t="shared" ca="1" si="73"/>
        <v>0.14187670865785937</v>
      </c>
      <c r="J804" s="28">
        <f t="shared" ca="1" si="69"/>
        <v>0.14477117630990202</v>
      </c>
      <c r="K804" s="36">
        <v>14</v>
      </c>
    </row>
    <row r="805" spans="1:11" x14ac:dyDescent="0.25">
      <c r="A805" s="13" t="s">
        <v>7</v>
      </c>
      <c r="B805" s="29">
        <v>45369</v>
      </c>
      <c r="C805" s="20">
        <v>0.14000000000000001</v>
      </c>
      <c r="D805" s="30">
        <f t="shared" ca="1" si="70"/>
        <v>137.16751365501102</v>
      </c>
      <c r="E805" s="31">
        <f>+E802*(1+C804*F805/365)</f>
        <v>137.16751365501102</v>
      </c>
      <c r="F805" s="32">
        <f t="shared" si="71"/>
        <v>3</v>
      </c>
      <c r="G805" s="20">
        <f t="shared" ca="1" si="72"/>
        <v>0.1401381469390604</v>
      </c>
      <c r="H805" s="20">
        <f t="shared" ca="1" si="74"/>
        <v>0.14074886892395727</v>
      </c>
      <c r="I805" s="20">
        <f t="shared" ca="1" si="73"/>
        <v>0.14187547502917797</v>
      </c>
      <c r="J805" s="20">
        <f t="shared" ca="1" si="69"/>
        <v>0.14477166827857649</v>
      </c>
      <c r="K805" s="36">
        <v>14</v>
      </c>
    </row>
    <row r="806" spans="1:11" x14ac:dyDescent="0.25">
      <c r="A806" s="13" t="s">
        <v>7</v>
      </c>
      <c r="B806" s="29">
        <v>45370</v>
      </c>
      <c r="C806" s="20">
        <v>0.14000000000000001</v>
      </c>
      <c r="D806" s="30">
        <f t="shared" ca="1" si="70"/>
        <v>137.22012585202938</v>
      </c>
      <c r="E806" s="31">
        <f>+E805*(1+C805*F806/365)</f>
        <v>137.22012585202938</v>
      </c>
      <c r="F806" s="32">
        <f t="shared" si="71"/>
        <v>1</v>
      </c>
      <c r="G806" s="20">
        <f t="shared" ca="1" si="72"/>
        <v>0.1401381469390604</v>
      </c>
      <c r="H806" s="20">
        <f t="shared" ca="1" si="74"/>
        <v>0.1407506781972693</v>
      </c>
      <c r="I806" s="20">
        <f t="shared" ca="1" si="73"/>
        <v>0.14187547502917797</v>
      </c>
      <c r="J806" s="20">
        <f t="shared" ca="1" si="69"/>
        <v>0.14477166827857604</v>
      </c>
      <c r="K806" s="36">
        <v>14</v>
      </c>
    </row>
    <row r="807" spans="1:11" x14ac:dyDescent="0.25">
      <c r="A807" s="13" t="s">
        <v>7</v>
      </c>
      <c r="B807" s="29">
        <v>45371</v>
      </c>
      <c r="C807" s="20">
        <v>0.14000000000000001</v>
      </c>
      <c r="D807" s="30">
        <f t="shared" ca="1" si="70"/>
        <v>137.27275822906853</v>
      </c>
      <c r="E807" s="31">
        <f>+E806*(1+C806*F807/365)</f>
        <v>137.27275822906853</v>
      </c>
      <c r="F807" s="32">
        <f t="shared" si="71"/>
        <v>1</v>
      </c>
      <c r="G807" s="20">
        <f t="shared" ca="1" si="72"/>
        <v>0.14013814693907198</v>
      </c>
      <c r="H807" s="20">
        <f t="shared" ca="1" si="74"/>
        <v>0.14075429535808301</v>
      </c>
      <c r="I807" s="20">
        <f t="shared" ca="1" si="73"/>
        <v>0.14187547502917797</v>
      </c>
      <c r="J807" s="20">
        <f t="shared" ca="1" si="69"/>
        <v>0.14477166827857604</v>
      </c>
      <c r="K807" s="36">
        <v>14</v>
      </c>
    </row>
    <row r="808" spans="1:11" x14ac:dyDescent="0.25">
      <c r="A808" s="23" t="s">
        <v>6</v>
      </c>
      <c r="B808" s="24">
        <v>45372</v>
      </c>
      <c r="C808" s="28">
        <v>0.14000000000000001</v>
      </c>
      <c r="D808" s="25">
        <f t="shared" ca="1" si="70"/>
        <v>137.32541079386874</v>
      </c>
      <c r="E808" s="26">
        <f>+E807*(1+C807*F808/365)</f>
        <v>137.32541079386874</v>
      </c>
      <c r="F808" s="27">
        <f t="shared" si="71"/>
        <v>1</v>
      </c>
      <c r="G808" s="28">
        <f t="shared" ca="1" si="72"/>
        <v>0.14013814693907198</v>
      </c>
      <c r="H808" s="28">
        <f t="shared" ca="1" si="74"/>
        <v>0.1407542953580857</v>
      </c>
      <c r="I808" s="28">
        <f t="shared" ca="1" si="73"/>
        <v>0.14187547502917797</v>
      </c>
      <c r="J808" s="28">
        <f t="shared" ca="1" si="69"/>
        <v>0.14477166827857604</v>
      </c>
      <c r="K808" s="36">
        <v>14</v>
      </c>
    </row>
    <row r="809" spans="1:11" x14ac:dyDescent="0.25">
      <c r="A809" s="23" t="s">
        <v>6</v>
      </c>
      <c r="B809" s="24">
        <v>45373</v>
      </c>
      <c r="C809" s="28">
        <v>0.14000000000000001</v>
      </c>
      <c r="D809" s="25">
        <f t="shared" ca="1" si="70"/>
        <v>137.3780633586689</v>
      </c>
      <c r="E809" s="26">
        <f>+E807*(1+C808*F809/365)</f>
        <v>137.3780633586689</v>
      </c>
      <c r="F809" s="27">
        <f t="shared" si="71"/>
        <v>2</v>
      </c>
      <c r="G809" s="28">
        <f t="shared" ca="1" si="72"/>
        <v>0.14013046098631854</v>
      </c>
      <c r="H809" s="28">
        <f t="shared" ca="1" si="74"/>
        <v>0.14075248608424146</v>
      </c>
      <c r="I809" s="28">
        <f t="shared" ca="1" si="73"/>
        <v>0.14187485797852206</v>
      </c>
      <c r="J809" s="28">
        <f t="shared" ca="1" si="69"/>
        <v>0.14477166827857604</v>
      </c>
      <c r="K809" s="36">
        <v>14</v>
      </c>
    </row>
    <row r="810" spans="1:11" x14ac:dyDescent="0.25">
      <c r="A810" s="23" t="s">
        <v>6</v>
      </c>
      <c r="B810" s="24">
        <v>45374</v>
      </c>
      <c r="C810" s="28">
        <v>0.14000000000000001</v>
      </c>
      <c r="D810" s="25">
        <f t="shared" ca="1" si="70"/>
        <v>137.43071592346911</v>
      </c>
      <c r="E810" s="26">
        <f>+E809*(1+C809*F810/365)</f>
        <v>137.53614222609531</v>
      </c>
      <c r="F810" s="27">
        <f t="shared" si="71"/>
        <v>3</v>
      </c>
      <c r="G810" s="28">
        <f t="shared" ca="1" si="72"/>
        <v>0.14011509497467084</v>
      </c>
      <c r="H810" s="28">
        <f t="shared" ca="1" si="74"/>
        <v>0.14074886892396271</v>
      </c>
      <c r="I810" s="28">
        <f t="shared" ca="1" si="73"/>
        <v>0.1418742414008595</v>
      </c>
      <c r="J810" s="28">
        <f t="shared" ca="1" si="69"/>
        <v>0.14477166827857604</v>
      </c>
      <c r="K810" s="36">
        <v>14</v>
      </c>
    </row>
    <row r="811" spans="1:11" x14ac:dyDescent="0.25">
      <c r="A811" s="23" t="s">
        <v>6</v>
      </c>
      <c r="B811" s="24">
        <v>45375</v>
      </c>
      <c r="C811" s="28">
        <v>0.14000000000000001</v>
      </c>
      <c r="D811" s="25">
        <f t="shared" ca="1" si="70"/>
        <v>137.48336848826929</v>
      </c>
      <c r="E811" s="26">
        <f>+E809*(1+C810*F811/365)</f>
        <v>137.58883518190413</v>
      </c>
      <c r="F811" s="27">
        <f t="shared" si="71"/>
        <v>4</v>
      </c>
      <c r="G811" s="28">
        <f t="shared" ca="1" si="72"/>
        <v>0.14009974074161807</v>
      </c>
      <c r="H811" s="28">
        <f t="shared" ca="1" si="74"/>
        <v>0.14074344526384855</v>
      </c>
      <c r="I811" s="28">
        <f t="shared" ca="1" si="73"/>
        <v>0.14187362529564179</v>
      </c>
      <c r="J811" s="28">
        <f t="shared" ca="1" si="69"/>
        <v>0.14477071087450205</v>
      </c>
      <c r="K811" s="36">
        <v>14</v>
      </c>
    </row>
    <row r="812" spans="1:11" x14ac:dyDescent="0.25">
      <c r="A812" s="13" t="s">
        <v>7</v>
      </c>
      <c r="B812" s="29">
        <v>45376</v>
      </c>
      <c r="C812" s="20">
        <v>0.14000000000000001</v>
      </c>
      <c r="D812" s="30">
        <f t="shared" ca="1" si="70"/>
        <v>137.53602105306948</v>
      </c>
      <c r="E812" s="31">
        <f>+E807*(1+C811*F812/365)</f>
        <v>137.53602105306948</v>
      </c>
      <c r="F812" s="32">
        <f t="shared" si="71"/>
        <v>5</v>
      </c>
      <c r="G812" s="20">
        <f t="shared" ca="1" si="72"/>
        <v>0.14008439827360236</v>
      </c>
      <c r="H812" s="20">
        <f t="shared" ca="1" si="74"/>
        <v>0.14073621648971216</v>
      </c>
      <c r="I812" s="20">
        <f t="shared" ca="1" si="73"/>
        <v>0.14187115992987936</v>
      </c>
      <c r="J812" s="20">
        <f t="shared" ca="1" si="69"/>
        <v>0.14476943482518015</v>
      </c>
      <c r="K812" s="36">
        <v>14</v>
      </c>
    </row>
    <row r="813" spans="1:11" x14ac:dyDescent="0.25">
      <c r="A813" s="13" t="s">
        <v>7</v>
      </c>
      <c r="B813" s="29">
        <v>45377</v>
      </c>
      <c r="C813" s="20">
        <v>0.14000000000000001</v>
      </c>
      <c r="D813" s="30">
        <f t="shared" ca="1" si="70"/>
        <v>137.58877459539121</v>
      </c>
      <c r="E813" s="31">
        <f>+E812*(1+C812*F813/365)</f>
        <v>137.58877459539121</v>
      </c>
      <c r="F813" s="32">
        <f t="shared" si="71"/>
        <v>1</v>
      </c>
      <c r="G813" s="20">
        <f t="shared" ca="1" si="72"/>
        <v>0.14008439827360236</v>
      </c>
      <c r="H813" s="20">
        <f t="shared" ca="1" si="74"/>
        <v>0.14073802576116548</v>
      </c>
      <c r="I813" s="20">
        <f t="shared" ca="1" si="73"/>
        <v>0.14187115992987936</v>
      </c>
      <c r="J813" s="20">
        <f t="shared" ca="1" si="69"/>
        <v>0.14476943482518015</v>
      </c>
      <c r="K813" s="36">
        <v>14</v>
      </c>
    </row>
    <row r="814" spans="1:11" x14ac:dyDescent="0.25">
      <c r="A814" s="13" t="s">
        <v>7</v>
      </c>
      <c r="B814" s="29">
        <v>45378</v>
      </c>
      <c r="C814" s="20">
        <v>0.14000000000000001</v>
      </c>
      <c r="D814" s="30">
        <f t="shared" ca="1" si="70"/>
        <v>137.64154837194835</v>
      </c>
      <c r="E814" s="31">
        <f>+E813*(1+C813*F814/365)</f>
        <v>137.64154837194835</v>
      </c>
      <c r="F814" s="32">
        <f t="shared" si="71"/>
        <v>1</v>
      </c>
      <c r="G814" s="20">
        <f t="shared" ca="1" si="72"/>
        <v>0.14008439827360236</v>
      </c>
      <c r="H814" s="20">
        <f t="shared" ca="1" si="74"/>
        <v>0.14074164291825647</v>
      </c>
      <c r="I814" s="20">
        <f t="shared" ca="1" si="73"/>
        <v>0.14187115992987936</v>
      </c>
      <c r="J814" s="20">
        <f t="shared" ca="1" si="69"/>
        <v>0.1447694348251797</v>
      </c>
      <c r="K814" s="36">
        <v>14</v>
      </c>
    </row>
    <row r="815" spans="1:11" x14ac:dyDescent="0.25">
      <c r="A815" s="13" t="s">
        <v>7</v>
      </c>
      <c r="B815" s="29">
        <v>45379</v>
      </c>
      <c r="C815" s="20">
        <v>0.14000000000000001</v>
      </c>
      <c r="D815" s="30">
        <f t="shared" ca="1" si="70"/>
        <v>137.69434239050199</v>
      </c>
      <c r="E815" s="31">
        <f>+E814*(1+C814*F815/365)</f>
        <v>137.69434239050199</v>
      </c>
      <c r="F815" s="32">
        <f t="shared" si="71"/>
        <v>1</v>
      </c>
      <c r="G815" s="20">
        <f t="shared" ca="1" si="72"/>
        <v>0.14008439827359079</v>
      </c>
      <c r="H815" s="20">
        <f t="shared" ca="1" si="74"/>
        <v>0.14074164291825647</v>
      </c>
      <c r="I815" s="20">
        <f t="shared" ca="1" si="73"/>
        <v>0.14187115992987936</v>
      </c>
      <c r="J815" s="20">
        <f t="shared" ca="1" si="69"/>
        <v>0.1447694348251797</v>
      </c>
      <c r="K815" s="36">
        <v>14</v>
      </c>
    </row>
    <row r="816" spans="1:11" x14ac:dyDescent="0.25">
      <c r="A816" s="13" t="s">
        <v>7</v>
      </c>
      <c r="B816" s="29">
        <v>45380</v>
      </c>
      <c r="C816" s="20">
        <v>0.14000000000000001</v>
      </c>
      <c r="D816" s="30">
        <f t="shared" ca="1" si="70"/>
        <v>137.74715665881615</v>
      </c>
      <c r="E816" s="31">
        <f>+E815*(1+C815*F816/365)</f>
        <v>137.74715665881615</v>
      </c>
      <c r="F816" s="32">
        <f t="shared" si="71"/>
        <v>1</v>
      </c>
      <c r="G816" s="20">
        <f t="shared" ca="1" si="72"/>
        <v>0.14009208421957106</v>
      </c>
      <c r="H816" s="20">
        <f t="shared" ca="1" si="74"/>
        <v>0.14074164291825647</v>
      </c>
      <c r="I816" s="20">
        <f t="shared" ca="1" si="73"/>
        <v>0.14192863766709302</v>
      </c>
      <c r="J816" s="20">
        <f t="shared" ca="1" si="69"/>
        <v>0.14476975420431204</v>
      </c>
      <c r="K816" s="36">
        <v>14</v>
      </c>
    </row>
    <row r="817" spans="1:11" x14ac:dyDescent="0.25">
      <c r="A817" s="23" t="s">
        <v>6</v>
      </c>
      <c r="B817" s="24">
        <v>45381</v>
      </c>
      <c r="C817" s="28">
        <v>0.14000000000000001</v>
      </c>
      <c r="D817" s="25">
        <f t="shared" ca="1" si="70"/>
        <v>137.7999911846579</v>
      </c>
      <c r="E817" s="26">
        <f>+E816*(1+C816*F817/365)</f>
        <v>137.7999911846579</v>
      </c>
      <c r="F817" s="27">
        <f t="shared" ref="F817:F858" si="75">IF(A816="Working day",1,(IF(A815="Working day",2,(IF(A814="Working day",3,IF(A813="Working day",4,IF(A812="Working day",5,6)))))))</f>
        <v>1</v>
      </c>
      <c r="G817" s="28">
        <f t="shared" ca="1" si="72"/>
        <v>0.1401074502244572</v>
      </c>
      <c r="H817" s="28">
        <f t="shared" ca="1" si="74"/>
        <v>0.14074164291825647</v>
      </c>
      <c r="I817" s="28">
        <f t="shared" ca="1" si="73"/>
        <v>0.14198668998495995</v>
      </c>
      <c r="J817" s="28">
        <f t="shared" ca="1" si="69"/>
        <v>0.14477039271794748</v>
      </c>
      <c r="K817" s="36">
        <v>14</v>
      </c>
    </row>
    <row r="818" spans="1:11" x14ac:dyDescent="0.25">
      <c r="A818" s="23" t="s">
        <v>6</v>
      </c>
      <c r="B818" s="24">
        <v>45382</v>
      </c>
      <c r="C818" s="28">
        <v>0.14000000000000001</v>
      </c>
      <c r="D818" s="25">
        <f t="shared" ca="1" si="70"/>
        <v>137.85282571049962</v>
      </c>
      <c r="E818" s="26">
        <f>+E816*(1+C817*F818/365)</f>
        <v>137.85282571049962</v>
      </c>
      <c r="F818" s="27">
        <f t="shared" si="75"/>
        <v>2</v>
      </c>
      <c r="G818" s="28">
        <f t="shared" ca="1" si="72"/>
        <v>0.14012280445976769</v>
      </c>
      <c r="H818" s="28">
        <f t="shared" ca="1" si="74"/>
        <v>0.1407398336462736</v>
      </c>
      <c r="I818" s="28">
        <f t="shared" ca="1" si="73"/>
        <v>0.14204469940761311</v>
      </c>
      <c r="J818" s="28">
        <f t="shared" ca="1" si="69"/>
        <v>0.1447710307425141</v>
      </c>
      <c r="K818" s="36">
        <v>14</v>
      </c>
    </row>
    <row r="819" spans="1:11" x14ac:dyDescent="0.25">
      <c r="A819" s="13" t="s">
        <v>7</v>
      </c>
      <c r="B819" s="29">
        <v>45383</v>
      </c>
      <c r="C819" s="20">
        <v>0.14000000000000001</v>
      </c>
      <c r="D819" s="30">
        <f t="shared" ca="1" si="70"/>
        <v>137.90566023634136</v>
      </c>
      <c r="E819" s="31">
        <f>+E816*(1+C818*F819/365)</f>
        <v>137.90566023634136</v>
      </c>
      <c r="F819" s="32">
        <f t="shared" si="75"/>
        <v>3</v>
      </c>
      <c r="G819" s="20">
        <f t="shared" ca="1" si="72"/>
        <v>0.1401381469390604</v>
      </c>
      <c r="H819" s="20">
        <f t="shared" ca="1" si="74"/>
        <v>0.14073621648971216</v>
      </c>
      <c r="I819" s="20">
        <f t="shared" ca="1" si="73"/>
        <v>0.14210266598257898</v>
      </c>
      <c r="J819" s="20">
        <f t="shared" ca="1" si="69"/>
        <v>0.14477039222869087</v>
      </c>
      <c r="K819" s="36">
        <v>14</v>
      </c>
    </row>
    <row r="820" spans="1:11" x14ac:dyDescent="0.25">
      <c r="A820" s="13" t="s">
        <v>7</v>
      </c>
      <c r="B820" s="29">
        <v>45384</v>
      </c>
      <c r="C820" s="20">
        <v>0.14000000000000001</v>
      </c>
      <c r="D820" s="30">
        <f t="shared" ca="1" si="70"/>
        <v>137.95855555807586</v>
      </c>
      <c r="E820" s="31">
        <f>+E819*(1+C819*F820/365)</f>
        <v>137.95855555807586</v>
      </c>
      <c r="F820" s="32">
        <f t="shared" si="75"/>
        <v>1</v>
      </c>
      <c r="G820" s="20">
        <f t="shared" ca="1" si="72"/>
        <v>0.1401381469390604</v>
      </c>
      <c r="H820" s="20">
        <f t="shared" ca="1" si="74"/>
        <v>0.14073802576116548</v>
      </c>
      <c r="I820" s="20">
        <f t="shared" ca="1" si="73"/>
        <v>0.14216243961730732</v>
      </c>
      <c r="J820" s="20">
        <f t="shared" ca="1" si="69"/>
        <v>0.14477039222869134</v>
      </c>
      <c r="K820" s="36">
        <v>14</v>
      </c>
    </row>
    <row r="821" spans="1:11" x14ac:dyDescent="0.25">
      <c r="A821" s="13" t="s">
        <v>7</v>
      </c>
      <c r="B821" s="29">
        <v>45385</v>
      </c>
      <c r="C821" s="20">
        <v>0.13500000000000001</v>
      </c>
      <c r="D821" s="30">
        <f t="shared" ca="1" si="70"/>
        <v>138.01147116842691</v>
      </c>
      <c r="E821" s="31">
        <f>+E820*(1+C820*F821/365)</f>
        <v>138.01147116842691</v>
      </c>
      <c r="F821" s="32">
        <f t="shared" si="75"/>
        <v>1</v>
      </c>
      <c r="G821" s="20">
        <f t="shared" ca="1" si="72"/>
        <v>0.1401381469390604</v>
      </c>
      <c r="H821" s="20">
        <f t="shared" ca="1" si="74"/>
        <v>0.14074164291825647</v>
      </c>
      <c r="I821" s="20">
        <f t="shared" ca="1" si="73"/>
        <v>0.14216243961730732</v>
      </c>
      <c r="J821" s="20">
        <f t="shared" ca="1" si="69"/>
        <v>0.14477039222869134</v>
      </c>
      <c r="K821" s="36">
        <v>14</v>
      </c>
    </row>
    <row r="822" spans="1:11" x14ac:dyDescent="0.25">
      <c r="A822" s="13" t="s">
        <v>7</v>
      </c>
      <c r="B822" s="29">
        <v>45386</v>
      </c>
      <c r="C822" s="20">
        <v>0.14000000000000001</v>
      </c>
      <c r="D822" s="30">
        <f t="shared" ca="1" si="70"/>
        <v>138.06251650707824</v>
      </c>
      <c r="E822" s="31">
        <f>+E821*(1+C821*F822/365)</f>
        <v>138.06251650707824</v>
      </c>
      <c r="F822" s="32">
        <f t="shared" si="75"/>
        <v>1</v>
      </c>
      <c r="G822" s="20">
        <f t="shared" ca="1" si="72"/>
        <v>0.13942221612772396</v>
      </c>
      <c r="H822" s="20">
        <f t="shared" ca="1" si="74"/>
        <v>0.14057311292551822</v>
      </c>
      <c r="I822" s="20">
        <f t="shared" ca="1" si="73"/>
        <v>0.14210495867855483</v>
      </c>
      <c r="J822" s="20">
        <f t="shared" ref="J822:J885" ca="1" si="76">($D822/OFFSET($D822,-180,0)-1)*365/180</f>
        <v>0.14474064270563142</v>
      </c>
      <c r="K822" s="36">
        <v>14</v>
      </c>
    </row>
    <row r="823" spans="1:11" x14ac:dyDescent="0.25">
      <c r="A823" s="13" t="s">
        <v>7</v>
      </c>
      <c r="B823" s="29">
        <v>45387</v>
      </c>
      <c r="C823" s="20">
        <v>0.14000000000000001</v>
      </c>
      <c r="D823" s="30">
        <f t="shared" ca="1" si="70"/>
        <v>138.11547199286179</v>
      </c>
      <c r="E823" s="31">
        <f>+E822*(1+C822*F823/365)</f>
        <v>138.11547199286179</v>
      </c>
      <c r="F823" s="32">
        <f t="shared" si="75"/>
        <v>1</v>
      </c>
      <c r="G823" s="20">
        <f t="shared" ca="1" si="72"/>
        <v>0.13942221612772396</v>
      </c>
      <c r="H823" s="20">
        <f t="shared" ca="1" si="74"/>
        <v>0.14057311292551822</v>
      </c>
      <c r="I823" s="20">
        <f t="shared" ca="1" si="73"/>
        <v>0.14210495867855483</v>
      </c>
      <c r="J823" s="20">
        <f t="shared" ca="1" si="76"/>
        <v>0.14474096208053089</v>
      </c>
      <c r="K823" s="36">
        <v>14</v>
      </c>
    </row>
    <row r="824" spans="1:11" x14ac:dyDescent="0.25">
      <c r="A824" s="23" t="s">
        <v>6</v>
      </c>
      <c r="B824" s="24">
        <v>45388</v>
      </c>
      <c r="C824" s="28">
        <v>0.14000000000000001</v>
      </c>
      <c r="D824" s="25">
        <f t="shared" ca="1" si="70"/>
        <v>138.16844779033852</v>
      </c>
      <c r="E824" s="26">
        <f>+E823*(1+C823*F824/365)</f>
        <v>138.16844779033852</v>
      </c>
      <c r="F824" s="27">
        <f t="shared" si="75"/>
        <v>1</v>
      </c>
      <c r="G824" s="28">
        <f t="shared" ca="1" si="72"/>
        <v>0.13942221612773556</v>
      </c>
      <c r="H824" s="28">
        <f t="shared" ca="1" si="74"/>
        <v>0.14057311292551822</v>
      </c>
      <c r="I824" s="28">
        <f t="shared" ca="1" si="73"/>
        <v>0.14210495867855483</v>
      </c>
      <c r="J824" s="28">
        <f t="shared" ca="1" si="76"/>
        <v>0.14474160058570418</v>
      </c>
      <c r="K824" s="36">
        <v>14</v>
      </c>
    </row>
    <row r="825" spans="1:11" x14ac:dyDescent="0.25">
      <c r="A825" s="23" t="s">
        <v>6</v>
      </c>
      <c r="B825" s="24">
        <v>45389</v>
      </c>
      <c r="C825" s="28">
        <v>0.14000000000000001</v>
      </c>
      <c r="D825" s="25">
        <f t="shared" ca="1" si="70"/>
        <v>138.2214235878152</v>
      </c>
      <c r="E825" s="26">
        <f>+E823*(1+C824*F825/365)</f>
        <v>138.2214235878152</v>
      </c>
      <c r="F825" s="27">
        <f t="shared" si="75"/>
        <v>2</v>
      </c>
      <c r="G825" s="28">
        <f t="shared" ca="1" si="72"/>
        <v>0.13942221612772396</v>
      </c>
      <c r="H825" s="28">
        <f t="shared" ca="1" si="74"/>
        <v>0.14057130367830578</v>
      </c>
      <c r="I825" s="28">
        <f t="shared" ca="1" si="73"/>
        <v>0.14210495867855483</v>
      </c>
      <c r="J825" s="28">
        <f t="shared" ca="1" si="76"/>
        <v>0.14474128121071062</v>
      </c>
      <c r="K825" s="36">
        <v>14</v>
      </c>
    </row>
    <row r="826" spans="1:11" x14ac:dyDescent="0.25">
      <c r="A826" s="13" t="s">
        <v>7</v>
      </c>
      <c r="B826" s="29">
        <v>45390</v>
      </c>
      <c r="C826" s="20">
        <v>0.14000000000000001</v>
      </c>
      <c r="D826" s="30">
        <f t="shared" ca="1" si="70"/>
        <v>138.27439938529193</v>
      </c>
      <c r="E826" s="31">
        <f>+E823*(1+C825*F826/365)</f>
        <v>138.27439938529193</v>
      </c>
      <c r="F826" s="32">
        <f t="shared" si="75"/>
        <v>3</v>
      </c>
      <c r="G826" s="20">
        <f t="shared" ca="1" si="72"/>
        <v>0.13942221612772396</v>
      </c>
      <c r="H826" s="20">
        <f t="shared" ca="1" si="74"/>
        <v>0.14056949581795461</v>
      </c>
      <c r="I826" s="20">
        <f t="shared" ca="1" si="73"/>
        <v>0.14211522104122432</v>
      </c>
      <c r="J826" s="20">
        <f t="shared" ca="1" si="76"/>
        <v>0.14474064270563097</v>
      </c>
      <c r="K826" s="36">
        <v>14</v>
      </c>
    </row>
    <row r="827" spans="1:11" x14ac:dyDescent="0.25">
      <c r="A827" s="13" t="s">
        <v>7</v>
      </c>
      <c r="B827" s="29">
        <v>45391</v>
      </c>
      <c r="C827" s="20">
        <v>0.140014</v>
      </c>
      <c r="D827" s="30">
        <f t="shared" ca="1" si="70"/>
        <v>138.32743614122055</v>
      </c>
      <c r="E827" s="31">
        <f>+E826*(1+C826*F827/365)</f>
        <v>138.32743614122055</v>
      </c>
      <c r="F827" s="32">
        <f t="shared" si="75"/>
        <v>1</v>
      </c>
      <c r="G827" s="20">
        <f t="shared" ca="1" si="72"/>
        <v>0.13942221612772396</v>
      </c>
      <c r="H827" s="20">
        <f t="shared" ca="1" si="74"/>
        <v>0.14057311292551553</v>
      </c>
      <c r="I827" s="20">
        <f t="shared" ca="1" si="73"/>
        <v>0.14211752025417124</v>
      </c>
      <c r="J827" s="20">
        <f t="shared" ca="1" si="76"/>
        <v>0.14474064270563097</v>
      </c>
      <c r="K827" s="36">
        <v>14</v>
      </c>
    </row>
    <row r="828" spans="1:11" x14ac:dyDescent="0.25">
      <c r="A828" s="23" t="s">
        <v>6</v>
      </c>
      <c r="B828" s="24">
        <v>45392</v>
      </c>
      <c r="C828" s="28">
        <v>0.140014</v>
      </c>
      <c r="D828" s="25">
        <f t="shared" ca="1" si="70"/>
        <v>138.38049854572429</v>
      </c>
      <c r="E828" s="26">
        <f>+E827*(1+C827*F828/365)</f>
        <v>138.38049854572429</v>
      </c>
      <c r="F828" s="27">
        <f t="shared" si="75"/>
        <v>1</v>
      </c>
      <c r="G828" s="28">
        <f t="shared" ca="1" si="72"/>
        <v>0.13942422070654215</v>
      </c>
      <c r="H828" s="28">
        <f t="shared" ca="1" si="74"/>
        <v>0.14057900838828929</v>
      </c>
      <c r="I828" s="28">
        <f t="shared" ca="1" si="73"/>
        <v>0.14212044025653175</v>
      </c>
      <c r="J828" s="28">
        <f t="shared" ca="1" si="76"/>
        <v>0.1447407260031541</v>
      </c>
      <c r="K828" s="36">
        <v>14</v>
      </c>
    </row>
    <row r="829" spans="1:11" x14ac:dyDescent="0.25">
      <c r="A829" s="23" t="s">
        <v>6</v>
      </c>
      <c r="B829" s="24">
        <v>45393</v>
      </c>
      <c r="C829" s="28">
        <v>0.140014</v>
      </c>
      <c r="D829" s="25">
        <f t="shared" ca="1" si="70"/>
        <v>138.4335609502281</v>
      </c>
      <c r="E829" s="26">
        <f>+E827*(1+C828*F829/365)</f>
        <v>138.4335609502281</v>
      </c>
      <c r="F829" s="27">
        <f t="shared" si="75"/>
        <v>2</v>
      </c>
      <c r="G829" s="28">
        <f t="shared" ca="1" si="72"/>
        <v>0.14013446866167631</v>
      </c>
      <c r="H829" s="28">
        <f t="shared" ca="1" si="74"/>
        <v>0.1405776706561627</v>
      </c>
      <c r="I829" s="28">
        <f t="shared" ca="1" si="73"/>
        <v>0.14211998399148423</v>
      </c>
      <c r="J829" s="28">
        <f t="shared" ca="1" si="76"/>
        <v>0.14474048986195162</v>
      </c>
      <c r="K829" s="36">
        <v>14</v>
      </c>
    </row>
    <row r="830" spans="1:11" x14ac:dyDescent="0.25">
      <c r="A830" s="23" t="s">
        <v>6</v>
      </c>
      <c r="B830" s="24">
        <v>45394</v>
      </c>
      <c r="C830" s="28">
        <v>0.140014</v>
      </c>
      <c r="D830" s="25">
        <f t="shared" ca="1" si="70"/>
        <v>138.48662335473188</v>
      </c>
      <c r="E830" s="26">
        <f>+E828*(1+C829*F830/365)</f>
        <v>138.53974682345071</v>
      </c>
      <c r="F830" s="27">
        <f t="shared" si="75"/>
        <v>3</v>
      </c>
      <c r="G830" s="28">
        <f t="shared" ca="1" si="72"/>
        <v>0.14012110418280338</v>
      </c>
      <c r="H830" s="28">
        <f t="shared" ca="1" si="74"/>
        <v>0.14057452470177279</v>
      </c>
      <c r="I830" s="28">
        <f t="shared" ca="1" si="73"/>
        <v>0.14211891098964605</v>
      </c>
      <c r="J830" s="28">
        <f t="shared" ca="1" si="76"/>
        <v>0.14474025390175924</v>
      </c>
      <c r="K830" s="36">
        <v>14</v>
      </c>
    </row>
    <row r="831" spans="1:11" x14ac:dyDescent="0.25">
      <c r="A831" s="13" t="s">
        <v>7</v>
      </c>
      <c r="B831" s="29">
        <v>45395</v>
      </c>
      <c r="C831" s="20">
        <v>0.14000000000000001</v>
      </c>
      <c r="D831" s="30">
        <f t="shared" ca="1" si="70"/>
        <v>138.53968575923562</v>
      </c>
      <c r="E831" s="31">
        <f>+E827*(1+C830*F831/365)</f>
        <v>138.53968575923562</v>
      </c>
      <c r="F831" s="32">
        <f t="shared" si="75"/>
        <v>4</v>
      </c>
      <c r="G831" s="20">
        <f t="shared" ca="1" si="72"/>
        <v>0.14010006399998862</v>
      </c>
      <c r="H831" s="20">
        <f t="shared" ca="1" si="74"/>
        <v>0.14056957191191324</v>
      </c>
      <c r="I831" s="20">
        <f t="shared" ca="1" si="73"/>
        <v>0.14211783881030243</v>
      </c>
      <c r="J831" s="20">
        <f t="shared" ca="1" si="76"/>
        <v>0.14474001812236895</v>
      </c>
      <c r="K831" s="36">
        <v>14</v>
      </c>
    </row>
    <row r="832" spans="1:11" x14ac:dyDescent="0.25">
      <c r="A832" s="23" t="s">
        <v>6</v>
      </c>
      <c r="B832" s="24">
        <v>45396</v>
      </c>
      <c r="C832" s="28">
        <v>0.14000000000000001</v>
      </c>
      <c r="D832" s="25">
        <f t="shared" ca="1" si="70"/>
        <v>138.59282426884192</v>
      </c>
      <c r="E832" s="26">
        <f>+E830*(1+C831*F832/365)</f>
        <v>138.59288535647889</v>
      </c>
      <c r="F832" s="27">
        <f t="shared" si="75"/>
        <v>1</v>
      </c>
      <c r="G832" s="28">
        <f t="shared" ca="1" si="72"/>
        <v>0.14010774994827296</v>
      </c>
      <c r="H832" s="28">
        <f t="shared" ca="1" si="74"/>
        <v>0.14056957191191324</v>
      </c>
      <c r="I832" s="28">
        <f t="shared" ca="1" si="73"/>
        <v>0.14211907251021541</v>
      </c>
      <c r="J832" s="28">
        <f t="shared" ca="1" si="76"/>
        <v>0.14474001812236895</v>
      </c>
      <c r="K832" s="36">
        <v>14</v>
      </c>
    </row>
    <row r="833" spans="1:11" x14ac:dyDescent="0.25">
      <c r="A833" s="13" t="s">
        <v>7</v>
      </c>
      <c r="B833" s="29">
        <v>45397</v>
      </c>
      <c r="C833" s="20">
        <v>0.14000000000000001</v>
      </c>
      <c r="D833" s="30">
        <f t="shared" ca="1" si="70"/>
        <v>138.64596277844817</v>
      </c>
      <c r="E833" s="31">
        <f>+E831*(1+C832*F833/365)</f>
        <v>138.64596277844817</v>
      </c>
      <c r="F833" s="32">
        <f t="shared" si="75"/>
        <v>2</v>
      </c>
      <c r="G833" s="20">
        <f t="shared" ca="1" si="72"/>
        <v>0.14011543000722509</v>
      </c>
      <c r="H833" s="20">
        <f t="shared" ca="1" si="74"/>
        <v>0.14056776266522225</v>
      </c>
      <c r="I833" s="20">
        <f t="shared" ca="1" si="73"/>
        <v>0.14211845542374787</v>
      </c>
      <c r="J833" s="20">
        <f t="shared" ca="1" si="76"/>
        <v>0.14473969874760773</v>
      </c>
      <c r="K833" s="36">
        <v>14</v>
      </c>
    </row>
    <row r="834" spans="1:11" x14ac:dyDescent="0.25">
      <c r="A834" s="13" t="s">
        <v>7</v>
      </c>
      <c r="B834" s="29">
        <v>45398</v>
      </c>
      <c r="C834" s="20">
        <v>0.14000000000000001</v>
      </c>
      <c r="D834" s="30">
        <f t="shared" ca="1" si="70"/>
        <v>138.69914205184264</v>
      </c>
      <c r="E834" s="31">
        <f>+E833*(1+C833*F834/365)</f>
        <v>138.69914205184264</v>
      </c>
      <c r="F834" s="32">
        <f t="shared" si="75"/>
        <v>1</v>
      </c>
      <c r="G834" s="20">
        <f t="shared" ca="1" si="72"/>
        <v>0.14011543000722509</v>
      </c>
      <c r="H834" s="20">
        <f t="shared" ca="1" si="74"/>
        <v>0.14056957191191055</v>
      </c>
      <c r="I834" s="20">
        <f t="shared" ca="1" si="73"/>
        <v>0.14211845542374699</v>
      </c>
      <c r="J834" s="20">
        <f t="shared" ca="1" si="76"/>
        <v>0.14473969874760773</v>
      </c>
      <c r="K834" s="36">
        <v>14</v>
      </c>
    </row>
    <row r="835" spans="1:11" x14ac:dyDescent="0.25">
      <c r="A835" s="13" t="s">
        <v>7</v>
      </c>
      <c r="B835" s="29">
        <v>45399</v>
      </c>
      <c r="C835" s="20">
        <v>0.14000000000000001</v>
      </c>
      <c r="D835" s="30">
        <f t="shared" ref="D835:D898" ca="1" si="77">+IF(F835=1,D834*(1+C834*F835/365),OFFSET(D834,-F835+1,0)*(1+C834*F835/365))</f>
        <v>138.75234172276666</v>
      </c>
      <c r="E835" s="31">
        <f>+E834*(1+C834*F835/365)</f>
        <v>138.75234172276666</v>
      </c>
      <c r="F835" s="32">
        <f t="shared" si="75"/>
        <v>1</v>
      </c>
      <c r="G835" s="20">
        <f t="shared" ca="1" si="72"/>
        <v>0.14011342540191635</v>
      </c>
      <c r="H835" s="20">
        <f t="shared" ca="1" si="74"/>
        <v>0.14057318901949575</v>
      </c>
      <c r="I835" s="20">
        <f t="shared" ca="1" si="73"/>
        <v>0.14211845542374787</v>
      </c>
      <c r="J835" s="20">
        <f t="shared" ca="1" si="76"/>
        <v>0.14473969874760773</v>
      </c>
      <c r="K835" s="36">
        <v>14</v>
      </c>
    </row>
    <row r="836" spans="1:11" x14ac:dyDescent="0.25">
      <c r="A836" s="13" t="s">
        <v>7</v>
      </c>
      <c r="B836" s="29">
        <v>45400</v>
      </c>
      <c r="C836" s="20">
        <v>0.14000000000000001</v>
      </c>
      <c r="D836" s="30">
        <f t="shared" ca="1" si="77"/>
        <v>138.80556179904389</v>
      </c>
      <c r="E836" s="31">
        <f>+E835*(1+C835*F836/365)</f>
        <v>138.80556179904389</v>
      </c>
      <c r="F836" s="32">
        <f t="shared" si="75"/>
        <v>1</v>
      </c>
      <c r="G836" s="20">
        <f t="shared" ca="1" si="72"/>
        <v>0.14011910828326615</v>
      </c>
      <c r="H836" s="20">
        <f t="shared" ca="1" si="74"/>
        <v>0.14057318901949575</v>
      </c>
      <c r="I836" s="20">
        <f t="shared" ca="1" si="73"/>
        <v>0.14211845542374787</v>
      </c>
      <c r="J836" s="20">
        <f t="shared" ca="1" si="76"/>
        <v>0.14473969874760773</v>
      </c>
      <c r="K836" s="36">
        <v>14</v>
      </c>
    </row>
    <row r="837" spans="1:11" x14ac:dyDescent="0.25">
      <c r="A837" s="13" t="s">
        <v>7</v>
      </c>
      <c r="B837" s="29">
        <v>45401</v>
      </c>
      <c r="C837" s="20">
        <v>0.14000000000000001</v>
      </c>
      <c r="D837" s="30">
        <f t="shared" ca="1" si="77"/>
        <v>138.85880228850107</v>
      </c>
      <c r="E837" s="31">
        <f>+E836*(1+C836*F837/365)</f>
        <v>138.85880228850107</v>
      </c>
      <c r="F837" s="32">
        <f t="shared" si="75"/>
        <v>1</v>
      </c>
      <c r="G837" s="20">
        <f t="shared" ca="1" si="72"/>
        <v>0.14013247276164123</v>
      </c>
      <c r="H837" s="20">
        <f t="shared" ca="1" si="74"/>
        <v>0.14057318901949575</v>
      </c>
      <c r="I837" s="20">
        <f t="shared" ca="1" si="73"/>
        <v>0.14211845542374787</v>
      </c>
      <c r="J837" s="20">
        <f t="shared" ca="1" si="76"/>
        <v>0.1447400181223685</v>
      </c>
      <c r="K837" s="36">
        <v>14</v>
      </c>
    </row>
    <row r="838" spans="1:11" x14ac:dyDescent="0.25">
      <c r="A838" s="23" t="s">
        <v>6</v>
      </c>
      <c r="B838" s="24">
        <v>45402</v>
      </c>
      <c r="C838" s="28">
        <v>0.14000000000000001</v>
      </c>
      <c r="D838" s="25">
        <f t="shared" ca="1" si="77"/>
        <v>138.9120631989679</v>
      </c>
      <c r="E838" s="26">
        <f>+E837*(1+C837*F838/365)</f>
        <v>138.9120631989679</v>
      </c>
      <c r="F838" s="27">
        <f t="shared" si="75"/>
        <v>1</v>
      </c>
      <c r="G838" s="28">
        <f t="shared" ca="1" si="72"/>
        <v>0.14015351295748127</v>
      </c>
      <c r="H838" s="28">
        <f t="shared" ca="1" si="74"/>
        <v>0.14057318901949575</v>
      </c>
      <c r="I838" s="28">
        <f t="shared" ca="1" si="73"/>
        <v>0.14211907251021363</v>
      </c>
      <c r="J838" s="28">
        <f t="shared" ca="1" si="76"/>
        <v>0.1447406566272649</v>
      </c>
      <c r="K838" s="36">
        <v>14</v>
      </c>
    </row>
    <row r="839" spans="1:11" x14ac:dyDescent="0.25">
      <c r="A839" s="23" t="s">
        <v>6</v>
      </c>
      <c r="B839" s="24">
        <v>45403</v>
      </c>
      <c r="C839" s="28">
        <v>0.14000000000000001</v>
      </c>
      <c r="D839" s="25">
        <f t="shared" ca="1" si="77"/>
        <v>138.9653241094347</v>
      </c>
      <c r="E839" s="26">
        <f>+E837*(1+C838*F839/365)</f>
        <v>138.9653241094347</v>
      </c>
      <c r="F839" s="27">
        <f t="shared" si="75"/>
        <v>2</v>
      </c>
      <c r="G839" s="28">
        <f t="shared" ca="1" si="72"/>
        <v>0.14014582700248165</v>
      </c>
      <c r="H839" s="28">
        <f t="shared" ca="1" si="74"/>
        <v>0.14057318901949845</v>
      </c>
      <c r="I839" s="28">
        <f t="shared" ca="1" si="73"/>
        <v>0.14211968912384185</v>
      </c>
      <c r="J839" s="28">
        <f t="shared" ca="1" si="76"/>
        <v>0.14474033725241003</v>
      </c>
      <c r="K839" s="36">
        <v>14</v>
      </c>
    </row>
    <row r="840" spans="1:11" x14ac:dyDescent="0.25">
      <c r="A840" s="13" t="s">
        <v>7</v>
      </c>
      <c r="B840" s="29">
        <v>45404</v>
      </c>
      <c r="C840" s="20">
        <v>0.14000000000000001</v>
      </c>
      <c r="D840" s="30">
        <f t="shared" ca="1" si="77"/>
        <v>139.01858501990154</v>
      </c>
      <c r="E840" s="31">
        <f>+E837*(1+C839*F840/365)</f>
        <v>139.01858501990154</v>
      </c>
      <c r="F840" s="32">
        <f t="shared" si="75"/>
        <v>3</v>
      </c>
      <c r="G840" s="20">
        <f t="shared" ca="1" si="72"/>
        <v>0.1401381469390604</v>
      </c>
      <c r="H840" s="20">
        <f t="shared" ca="1" si="74"/>
        <v>0.14057318901949575</v>
      </c>
      <c r="I840" s="20">
        <f t="shared" ca="1" si="73"/>
        <v>0.14211845542374787</v>
      </c>
      <c r="J840" s="20">
        <f t="shared" ca="1" si="76"/>
        <v>0.14473969874760773</v>
      </c>
      <c r="K840" s="36">
        <v>14</v>
      </c>
    </row>
    <row r="841" spans="1:11" x14ac:dyDescent="0.25">
      <c r="A841" s="13" t="s">
        <v>7</v>
      </c>
      <c r="B841" s="29">
        <v>45405</v>
      </c>
      <c r="C841" s="20">
        <v>0.14000000000000001</v>
      </c>
      <c r="D841" s="30">
        <f t="shared" ca="1" si="77"/>
        <v>139.07190721689548</v>
      </c>
      <c r="E841" s="31">
        <f>+E840*(1+C840*F841/365)</f>
        <v>139.07190721689548</v>
      </c>
      <c r="F841" s="32">
        <f t="shared" si="75"/>
        <v>1</v>
      </c>
      <c r="G841" s="20">
        <f t="shared" ref="G841:G904" ca="1" si="78">(D841/OFFSET(D841,-7,0)-1)*365/7</f>
        <v>0.14013814693907198</v>
      </c>
      <c r="H841" s="20">
        <f t="shared" ca="1" si="74"/>
        <v>0.14057861260458265</v>
      </c>
      <c r="I841" s="20">
        <f t="shared" ca="1" si="73"/>
        <v>0.14212039826001949</v>
      </c>
      <c r="J841" s="20">
        <f t="shared" ca="1" si="76"/>
        <v>0.14475397246089275</v>
      </c>
      <c r="K841" s="36">
        <v>14</v>
      </c>
    </row>
    <row r="842" spans="1:11" x14ac:dyDescent="0.25">
      <c r="A842" s="13" t="s">
        <v>7</v>
      </c>
      <c r="B842" s="29">
        <v>45406</v>
      </c>
      <c r="C842" s="20">
        <v>0.14000000000000001</v>
      </c>
      <c r="D842" s="30">
        <f t="shared" ca="1" si="77"/>
        <v>139.12524986623896</v>
      </c>
      <c r="E842" s="31">
        <f>+E841*(1+C841*F842/365)</f>
        <v>139.12524986623896</v>
      </c>
      <c r="F842" s="32">
        <f t="shared" si="75"/>
        <v>1</v>
      </c>
      <c r="G842" s="20">
        <f t="shared" ca="1" si="78"/>
        <v>0.1401381469390604</v>
      </c>
      <c r="H842" s="20">
        <f t="shared" ca="1" si="74"/>
        <v>0.1405858412861507</v>
      </c>
      <c r="I842" s="20">
        <f t="shared" ca="1" si="73"/>
        <v>0.14212119148917965</v>
      </c>
      <c r="J842" s="20">
        <f t="shared" ca="1" si="76"/>
        <v>0.14475397246089275</v>
      </c>
      <c r="K842" s="36">
        <v>14</v>
      </c>
    </row>
    <row r="843" spans="1:11" x14ac:dyDescent="0.25">
      <c r="A843" s="13" t="s">
        <v>7</v>
      </c>
      <c r="B843" s="29">
        <v>45407</v>
      </c>
      <c r="C843" s="20">
        <v>0.14000000000000001</v>
      </c>
      <c r="D843" s="30">
        <f t="shared" ca="1" si="77"/>
        <v>139.1786129757767</v>
      </c>
      <c r="E843" s="31">
        <f>+E842*(1+C842*F843/365)</f>
        <v>139.1786129757767</v>
      </c>
      <c r="F843" s="32">
        <f t="shared" si="75"/>
        <v>1</v>
      </c>
      <c r="G843" s="20">
        <f t="shared" ca="1" si="78"/>
        <v>0.1401381469390604</v>
      </c>
      <c r="H843" s="20">
        <f t="shared" ca="1" si="74"/>
        <v>0.14058584128614801</v>
      </c>
      <c r="I843" s="20">
        <f t="shared" ca="1" si="73"/>
        <v>0.14217203924388183</v>
      </c>
      <c r="J843" s="20">
        <f t="shared" ca="1" si="76"/>
        <v>0.14474520835299279</v>
      </c>
      <c r="K843" s="36">
        <v>14</v>
      </c>
    </row>
    <row r="844" spans="1:11" x14ac:dyDescent="0.25">
      <c r="A844" s="13" t="s">
        <v>7</v>
      </c>
      <c r="B844" s="29">
        <v>45408</v>
      </c>
      <c r="C844" s="20">
        <v>0.14000000000000001</v>
      </c>
      <c r="D844" s="30">
        <f t="shared" ca="1" si="77"/>
        <v>139.23199655335645</v>
      </c>
      <c r="E844" s="31">
        <f>+E843*(1+C843*F844/365)</f>
        <v>139.23199655335645</v>
      </c>
      <c r="F844" s="32">
        <f t="shared" si="75"/>
        <v>1</v>
      </c>
      <c r="G844" s="20">
        <f t="shared" ca="1" si="78"/>
        <v>0.1401381469390604</v>
      </c>
      <c r="H844" s="20">
        <f t="shared" ca="1" si="74"/>
        <v>0.1405858412861507</v>
      </c>
      <c r="I844" s="20">
        <f t="shared" ca="1" si="73"/>
        <v>0.1421897664807957</v>
      </c>
      <c r="J844" s="20">
        <f t="shared" ca="1" si="76"/>
        <v>0.1447367704080019</v>
      </c>
      <c r="K844" s="36">
        <v>14</v>
      </c>
    </row>
    <row r="845" spans="1:11" x14ac:dyDescent="0.25">
      <c r="A845" s="23" t="s">
        <v>6</v>
      </c>
      <c r="B845" s="24">
        <v>45409</v>
      </c>
      <c r="C845" s="28">
        <v>0.14000000000000001</v>
      </c>
      <c r="D845" s="25">
        <f t="shared" ca="1" si="77"/>
        <v>139.28540060682897</v>
      </c>
      <c r="E845" s="26">
        <f>+E844*(1+C844*F845/365)</f>
        <v>139.28540060682897</v>
      </c>
      <c r="F845" s="27">
        <f t="shared" si="75"/>
        <v>1</v>
      </c>
      <c r="G845" s="28">
        <f t="shared" ca="1" si="78"/>
        <v>0.1401381469390604</v>
      </c>
      <c r="H845" s="28">
        <f t="shared" ca="1" si="74"/>
        <v>0.14058584128614801</v>
      </c>
      <c r="I845" s="28">
        <f t="shared" ca="1" si="73"/>
        <v>0.14220809737826456</v>
      </c>
      <c r="J845" s="28">
        <f t="shared" ca="1" si="76"/>
        <v>0.1447286583695527</v>
      </c>
      <c r="K845" s="36">
        <v>14</v>
      </c>
    </row>
    <row r="846" spans="1:11" x14ac:dyDescent="0.25">
      <c r="A846" s="23" t="s">
        <v>6</v>
      </c>
      <c r="B846" s="24">
        <v>45410</v>
      </c>
      <c r="C846" s="28">
        <v>0.14000000000000001</v>
      </c>
      <c r="D846" s="25">
        <f t="shared" ca="1" si="77"/>
        <v>139.33880466030149</v>
      </c>
      <c r="E846" s="26">
        <f>+E844*(1+C845*F846/365)</f>
        <v>139.33880466030149</v>
      </c>
      <c r="F846" s="27">
        <f t="shared" si="75"/>
        <v>2</v>
      </c>
      <c r="G846" s="28">
        <f t="shared" ca="1" si="78"/>
        <v>0.1401381469390604</v>
      </c>
      <c r="H846" s="28">
        <f t="shared" ca="1" si="74"/>
        <v>0.14058403203706885</v>
      </c>
      <c r="I846" s="28">
        <f t="shared" ca="1" si="73"/>
        <v>0.14222641438436667</v>
      </c>
      <c r="J846" s="28">
        <f t="shared" ca="1" si="76"/>
        <v>0.1447155886725206</v>
      </c>
      <c r="K846" s="36">
        <v>14</v>
      </c>
    </row>
    <row r="847" spans="1:11" x14ac:dyDescent="0.25">
      <c r="A847" s="13" t="s">
        <v>7</v>
      </c>
      <c r="B847" s="29">
        <v>45411</v>
      </c>
      <c r="C847" s="20">
        <v>0.14000000000000001</v>
      </c>
      <c r="D847" s="30">
        <f t="shared" ca="1" si="77"/>
        <v>139.39220871377401</v>
      </c>
      <c r="E847" s="31">
        <f>+E844*(1+C846*F847/365)</f>
        <v>139.39220871377401</v>
      </c>
      <c r="F847" s="32">
        <f t="shared" si="75"/>
        <v>3</v>
      </c>
      <c r="G847" s="20">
        <f t="shared" ca="1" si="78"/>
        <v>0.1401381469390604</v>
      </c>
      <c r="H847" s="20">
        <f t="shared" ca="1" si="74"/>
        <v>0.14058041492629852</v>
      </c>
      <c r="I847" s="20">
        <f t="shared" ca="1" si="73"/>
        <v>0.1422256175146166</v>
      </c>
      <c r="J847" s="20">
        <f t="shared" ca="1" si="76"/>
        <v>0.14469329924042068</v>
      </c>
      <c r="K847" s="36">
        <v>14</v>
      </c>
    </row>
    <row r="848" spans="1:11" x14ac:dyDescent="0.25">
      <c r="A848" s="13" t="s">
        <v>7</v>
      </c>
      <c r="B848" s="29">
        <v>45412</v>
      </c>
      <c r="C848" s="20">
        <v>0.14499999999999999</v>
      </c>
      <c r="D848" s="30">
        <f t="shared" ca="1" si="77"/>
        <v>139.44567421848615</v>
      </c>
      <c r="E848" s="31">
        <f>+E847*(1+C847*F848/365)</f>
        <v>139.44567421848615</v>
      </c>
      <c r="F848" s="32">
        <f t="shared" si="75"/>
        <v>1</v>
      </c>
      <c r="G848" s="20">
        <f t="shared" ca="1" si="78"/>
        <v>0.1401381469390604</v>
      </c>
      <c r="H848" s="20">
        <f t="shared" ca="1" si="74"/>
        <v>0.14058222417484548</v>
      </c>
      <c r="I848" s="20">
        <f t="shared" ca="1" si="73"/>
        <v>0.14222561751461571</v>
      </c>
      <c r="J848" s="20">
        <f t="shared" ca="1" si="76"/>
        <v>0.14469329924042068</v>
      </c>
      <c r="K848" s="36">
        <v>14</v>
      </c>
    </row>
    <row r="849" spans="1:11" x14ac:dyDescent="0.25">
      <c r="A849" s="13" t="s">
        <v>7</v>
      </c>
      <c r="B849" s="29">
        <v>45413</v>
      </c>
      <c r="C849" s="20">
        <v>0.14000000000000001</v>
      </c>
      <c r="D849" s="30">
        <f t="shared" ca="1" si="77"/>
        <v>139.50107044523048</v>
      </c>
      <c r="E849" s="31">
        <f>+E848*(1+C848*F849/365)</f>
        <v>139.50107044523048</v>
      </c>
      <c r="F849" s="32">
        <f t="shared" si="75"/>
        <v>1</v>
      </c>
      <c r="G849" s="20">
        <f t="shared" ca="1" si="78"/>
        <v>0.14085407775038528</v>
      </c>
      <c r="H849" s="20">
        <f t="shared" ca="1" si="74"/>
        <v>0.14075436914543477</v>
      </c>
      <c r="I849" s="20">
        <f t="shared" ca="1" si="73"/>
        <v>0.14222444490220226</v>
      </c>
      <c r="J849" s="20">
        <f t="shared" ca="1" si="76"/>
        <v>0.14472430906083872</v>
      </c>
      <c r="K849" s="36">
        <v>14</v>
      </c>
    </row>
    <row r="850" spans="1:11" x14ac:dyDescent="0.25">
      <c r="A850" s="13" t="s">
        <v>7</v>
      </c>
      <c r="B850" s="29">
        <v>45414</v>
      </c>
      <c r="C850" s="20">
        <v>0.14000000000000001</v>
      </c>
      <c r="D850" s="30">
        <f t="shared" ca="1" si="77"/>
        <v>139.55457770512729</v>
      </c>
      <c r="E850" s="31">
        <f>+E849*(1+C849*F850/365)</f>
        <v>139.55457770512729</v>
      </c>
      <c r="F850" s="32">
        <f t="shared" si="75"/>
        <v>1</v>
      </c>
      <c r="G850" s="20">
        <f t="shared" ca="1" si="78"/>
        <v>0.14085407775038528</v>
      </c>
      <c r="H850" s="20">
        <f t="shared" ca="1" si="74"/>
        <v>0.14075436914543477</v>
      </c>
      <c r="I850" s="20">
        <f t="shared" ca="1" si="73"/>
        <v>0.14223627468747202</v>
      </c>
      <c r="J850" s="20">
        <f t="shared" ca="1" si="76"/>
        <v>0.14472244678179436</v>
      </c>
      <c r="K850" s="36">
        <v>14</v>
      </c>
    </row>
    <row r="851" spans="1:11" x14ac:dyDescent="0.25">
      <c r="A851" s="13" t="s">
        <v>7</v>
      </c>
      <c r="B851" s="29">
        <v>45415</v>
      </c>
      <c r="C851" s="20">
        <v>0.14000000000000001</v>
      </c>
      <c r="D851" s="30">
        <f t="shared" ca="1" si="77"/>
        <v>139.60810548835667</v>
      </c>
      <c r="E851" s="31">
        <f>+E850*(1+C850*F851/365)</f>
        <v>139.60810548835667</v>
      </c>
      <c r="F851" s="32">
        <f t="shared" si="75"/>
        <v>1</v>
      </c>
      <c r="G851" s="20">
        <f t="shared" ca="1" si="78"/>
        <v>0.14085407775038528</v>
      </c>
      <c r="H851" s="20">
        <f t="shared" ca="1" si="74"/>
        <v>0.14075436914543477</v>
      </c>
      <c r="I851" s="20">
        <f t="shared" ca="1" si="73"/>
        <v>0.14228297354299416</v>
      </c>
      <c r="J851" s="20">
        <f t="shared" ca="1" si="76"/>
        <v>0.14472090530539225</v>
      </c>
      <c r="K851" s="36">
        <v>14</v>
      </c>
    </row>
    <row r="852" spans="1:11" x14ac:dyDescent="0.25">
      <c r="A852" s="23" t="s">
        <v>6</v>
      </c>
      <c r="B852" s="24">
        <v>45416</v>
      </c>
      <c r="C852" s="28">
        <v>0.14000000000000001</v>
      </c>
      <c r="D852" s="25">
        <f t="shared" ca="1" si="77"/>
        <v>139.66165380279057</v>
      </c>
      <c r="E852" s="26">
        <f>+E851*(1+C851*F852/365)</f>
        <v>139.66165380279057</v>
      </c>
      <c r="F852" s="27">
        <f t="shared" si="75"/>
        <v>1</v>
      </c>
      <c r="G852" s="28">
        <f t="shared" ca="1" si="78"/>
        <v>0.14085407775039685</v>
      </c>
      <c r="H852" s="28">
        <f t="shared" ca="1" si="74"/>
        <v>0.14092290162021801</v>
      </c>
      <c r="I852" s="28">
        <f t="shared" ca="1" si="73"/>
        <v>0.14233025475753955</v>
      </c>
      <c r="J852" s="28">
        <f t="shared" ca="1" si="76"/>
        <v>0.14471968438454258</v>
      </c>
      <c r="K852" s="36">
        <v>14</v>
      </c>
    </row>
    <row r="853" spans="1:11" x14ac:dyDescent="0.25">
      <c r="A853" s="23" t="s">
        <v>6</v>
      </c>
      <c r="B853" s="24">
        <v>45417</v>
      </c>
      <c r="C853" s="28">
        <v>0.14000000000000001</v>
      </c>
      <c r="D853" s="25">
        <f t="shared" ca="1" si="77"/>
        <v>139.71520211722444</v>
      </c>
      <c r="E853" s="26">
        <f>+E851*(1+C852*F853/365)</f>
        <v>139.71520211722444</v>
      </c>
      <c r="F853" s="27">
        <f t="shared" si="75"/>
        <v>2</v>
      </c>
      <c r="G853" s="28">
        <f t="shared" ca="1" si="78"/>
        <v>0.14085407775038528</v>
      </c>
      <c r="H853" s="28">
        <f t="shared" ca="1" si="74"/>
        <v>0.14092109232158717</v>
      </c>
      <c r="I853" s="28">
        <f t="shared" ca="1" si="73"/>
        <v>0.14237750079323172</v>
      </c>
      <c r="J853" s="28">
        <f t="shared" ca="1" si="76"/>
        <v>0.14471514068793107</v>
      </c>
      <c r="K853" s="36">
        <v>14</v>
      </c>
    </row>
    <row r="854" spans="1:11" x14ac:dyDescent="0.25">
      <c r="A854" s="13" t="s">
        <v>7</v>
      </c>
      <c r="B854" s="29">
        <v>45418</v>
      </c>
      <c r="C854" s="20">
        <v>0.14000000000000001</v>
      </c>
      <c r="D854" s="30">
        <f t="shared" ca="1" si="77"/>
        <v>139.76875043165833</v>
      </c>
      <c r="E854" s="31">
        <f>+E851*(1+C853*F854/365)</f>
        <v>139.76875043165833</v>
      </c>
      <c r="F854" s="32">
        <f t="shared" si="75"/>
        <v>3</v>
      </c>
      <c r="G854" s="20">
        <f t="shared" ca="1" si="78"/>
        <v>0.14085407775038528</v>
      </c>
      <c r="H854" s="20">
        <f t="shared" ca="1" si="74"/>
        <v>0.14091747511175126</v>
      </c>
      <c r="I854" s="20">
        <f t="shared" ca="1" si="73"/>
        <v>0.14237632450123427</v>
      </c>
      <c r="J854" s="20">
        <f t="shared" ca="1" si="76"/>
        <v>0.14471450219053367</v>
      </c>
      <c r="K854" s="36">
        <v>14</v>
      </c>
    </row>
    <row r="855" spans="1:11" x14ac:dyDescent="0.25">
      <c r="A855" s="13" t="s">
        <v>7</v>
      </c>
      <c r="B855" s="29">
        <v>45419</v>
      </c>
      <c r="C855" s="20">
        <v>0.138513</v>
      </c>
      <c r="D855" s="30">
        <f t="shared" ca="1" si="77"/>
        <v>139.82236036333077</v>
      </c>
      <c r="E855" s="31">
        <f>+E854*(1+C854*F855/365)</f>
        <v>139.82236036333077</v>
      </c>
      <c r="F855" s="32">
        <f t="shared" si="75"/>
        <v>1</v>
      </c>
      <c r="G855" s="20">
        <f t="shared" ca="1" si="78"/>
        <v>0.14085407775039685</v>
      </c>
      <c r="H855" s="20">
        <f t="shared" ca="1" si="74"/>
        <v>0.14091928440985266</v>
      </c>
      <c r="I855" s="20">
        <f t="shared" ca="1" si="73"/>
        <v>0.14238464818176189</v>
      </c>
      <c r="J855" s="20">
        <f t="shared" ca="1" si="76"/>
        <v>0.14471450219053411</v>
      </c>
      <c r="K855" s="36">
        <v>14</v>
      </c>
    </row>
    <row r="856" spans="1:11" x14ac:dyDescent="0.25">
      <c r="A856" s="13" t="s">
        <v>7</v>
      </c>
      <c r="B856" s="29">
        <v>45420</v>
      </c>
      <c r="C856" s="20">
        <v>0.14000000000000001</v>
      </c>
      <c r="D856" s="30">
        <f t="shared" ca="1" si="77"/>
        <v>139.87542122525133</v>
      </c>
      <c r="E856" s="31">
        <f>+E855*(1+C855*F856/365)</f>
        <v>139.87542122525133</v>
      </c>
      <c r="F856" s="32">
        <f t="shared" si="75"/>
        <v>1</v>
      </c>
      <c r="G856" s="20">
        <f t="shared" ca="1" si="78"/>
        <v>0.13992522911577568</v>
      </c>
      <c r="H856" s="20">
        <f t="shared" ca="1" si="74"/>
        <v>0.1408727800622166</v>
      </c>
      <c r="I856" s="20">
        <f t="shared" ca="1" si="73"/>
        <v>0.14236755244565144</v>
      </c>
      <c r="J856" s="20">
        <f t="shared" ca="1" si="76"/>
        <v>0.14470565490998261</v>
      </c>
      <c r="K856" s="36">
        <v>14</v>
      </c>
    </row>
    <row r="857" spans="1:11" x14ac:dyDescent="0.25">
      <c r="A857" s="23" t="s">
        <v>6</v>
      </c>
      <c r="B857" s="24">
        <v>45421</v>
      </c>
      <c r="C857" s="28">
        <v>0.14000000000000001</v>
      </c>
      <c r="D857" s="25">
        <f t="shared" ca="1" si="77"/>
        <v>139.92907207174869</v>
      </c>
      <c r="E857" s="26">
        <f>+E855*(1+C856*F857/365)</f>
        <v>139.87599085771672</v>
      </c>
      <c r="F857" s="27">
        <f t="shared" si="75"/>
        <v>1</v>
      </c>
      <c r="G857" s="28">
        <f t="shared" ca="1" si="78"/>
        <v>0.13992522911577568</v>
      </c>
      <c r="H857" s="28">
        <f t="shared" ca="1" si="74"/>
        <v>0.1408727800622166</v>
      </c>
      <c r="I857" s="28">
        <f t="shared" ca="1" si="73"/>
        <v>0.14236755244565144</v>
      </c>
      <c r="J857" s="28">
        <f t="shared" ca="1" si="76"/>
        <v>0.14469632577761032</v>
      </c>
      <c r="K857" s="36">
        <v>14</v>
      </c>
    </row>
    <row r="858" spans="1:11" x14ac:dyDescent="0.25">
      <c r="A858" s="13" t="s">
        <v>7</v>
      </c>
      <c r="B858" s="29">
        <v>45422</v>
      </c>
      <c r="C858" s="20">
        <v>0.14000000000000001</v>
      </c>
      <c r="D858" s="30">
        <f t="shared" ca="1" si="77"/>
        <v>139.98272291824603</v>
      </c>
      <c r="E858" s="31">
        <f>+E856*(1+C857*F858/365)</f>
        <v>139.98272291824603</v>
      </c>
      <c r="F858" s="32">
        <f t="shared" si="75"/>
        <v>2</v>
      </c>
      <c r="G858" s="20">
        <f t="shared" ca="1" si="78"/>
        <v>0.13991754319432922</v>
      </c>
      <c r="H858" s="20">
        <f t="shared" ca="1" si="74"/>
        <v>0.14087049888203562</v>
      </c>
      <c r="I858" s="20">
        <f t="shared" ca="1" si="73"/>
        <v>0.14236693532265723</v>
      </c>
      <c r="J858" s="20">
        <f t="shared" ca="1" si="76"/>
        <v>0.14468700387637765</v>
      </c>
      <c r="K858" s="36">
        <v>14</v>
      </c>
    </row>
    <row r="859" spans="1:11" x14ac:dyDescent="0.25">
      <c r="A859" s="23" t="s">
        <v>6</v>
      </c>
      <c r="B859" s="24">
        <v>45423</v>
      </c>
      <c r="C859" s="28">
        <v>0.14000000000000001</v>
      </c>
      <c r="D859" s="25">
        <f t="shared" ca="1" si="77"/>
        <v>140.03641492155714</v>
      </c>
      <c r="E859" s="26">
        <f>+E858*(1+C858*F859/365)</f>
        <v>140.03641492155714</v>
      </c>
      <c r="F859" s="27">
        <f t="shared" ref="F859:F868" si="79">IF(A858="Working day",1,(IF(A857="Working day",2,(IF(A856="Working day",3,IF(A855="Working day",4,IF(A854="Working day",5,6)))))))</f>
        <v>1</v>
      </c>
      <c r="G859" s="28">
        <f t="shared" ca="1" si="78"/>
        <v>0.13991754319432922</v>
      </c>
      <c r="H859" s="28">
        <f t="shared" ca="1" si="74"/>
        <v>0.14087183664599179</v>
      </c>
      <c r="I859" s="28">
        <f t="shared" ca="1" si="73"/>
        <v>0.14236755244565144</v>
      </c>
      <c r="J859" s="28">
        <f t="shared" ca="1" si="76"/>
        <v>0.14467832768445735</v>
      </c>
      <c r="K859" s="36">
        <v>14</v>
      </c>
    </row>
    <row r="860" spans="1:11" x14ac:dyDescent="0.25">
      <c r="A860" s="23" t="s">
        <v>6</v>
      </c>
      <c r="B860" s="24">
        <v>45424</v>
      </c>
      <c r="C860" s="28">
        <v>0.14000000000000001</v>
      </c>
      <c r="D860" s="25">
        <f t="shared" ca="1" si="77"/>
        <v>140.09010692486822</v>
      </c>
      <c r="E860" s="26">
        <f>+E858*(1+C859*F860/365)</f>
        <v>140.09010692486822</v>
      </c>
      <c r="F860" s="27">
        <f t="shared" si="79"/>
        <v>2</v>
      </c>
      <c r="G860" s="28">
        <f t="shared" ca="1" si="78"/>
        <v>0.13991754319431765</v>
      </c>
      <c r="H860" s="28">
        <f t="shared" ca="1" si="74"/>
        <v>0.14087317338479355</v>
      </c>
      <c r="I860" s="28">
        <f t="shared" ref="I860:I923" ca="1" si="80">($D860/OFFSET($D860,-90,0)-1)*365/90</f>
        <v>0.1423681690957784</v>
      </c>
      <c r="J860" s="28">
        <f t="shared" ca="1" si="76"/>
        <v>0.14467800831876565</v>
      </c>
      <c r="K860" s="36">
        <v>14</v>
      </c>
    </row>
    <row r="861" spans="1:11" x14ac:dyDescent="0.25">
      <c r="A861" s="13" t="s">
        <v>7</v>
      </c>
      <c r="B861" s="29">
        <v>45425</v>
      </c>
      <c r="C861" s="20">
        <v>0.14000000000000001</v>
      </c>
      <c r="D861" s="30">
        <f t="shared" ca="1" si="77"/>
        <v>140.14379892817934</v>
      </c>
      <c r="E861" s="31">
        <f>+E858*(1+C860*F861/365)</f>
        <v>140.14379892817934</v>
      </c>
      <c r="F861" s="32">
        <f t="shared" si="79"/>
        <v>3</v>
      </c>
      <c r="G861" s="20">
        <f t="shared" ca="1" si="78"/>
        <v>0.13991754319431765</v>
      </c>
      <c r="H861" s="20">
        <f t="shared" ca="1" si="74"/>
        <v>0.14087450909962421</v>
      </c>
      <c r="I861" s="20">
        <f t="shared" ca="1" si="80"/>
        <v>0.14236693532265543</v>
      </c>
      <c r="J861" s="20">
        <f t="shared" ca="1" si="76"/>
        <v>0.14467736983228116</v>
      </c>
      <c r="K861" s="36">
        <v>14</v>
      </c>
    </row>
    <row r="862" spans="1:11" x14ac:dyDescent="0.25">
      <c r="A862" s="13" t="s">
        <v>7</v>
      </c>
      <c r="B862" s="29">
        <v>45426</v>
      </c>
      <c r="C862" s="20">
        <v>0.14000000000000001</v>
      </c>
      <c r="D862" s="30">
        <f t="shared" ca="1" si="77"/>
        <v>140.19755271406962</v>
      </c>
      <c r="E862" s="31">
        <f>+E861*(1+C861*F862/365)</f>
        <v>140.19755271406962</v>
      </c>
      <c r="F862" s="32">
        <f t="shared" si="79"/>
        <v>1</v>
      </c>
      <c r="G862" s="20">
        <f t="shared" ca="1" si="78"/>
        <v>0.13991754319431765</v>
      </c>
      <c r="H862" s="20">
        <f t="shared" ca="1" si="74"/>
        <v>0.14087450909962421</v>
      </c>
      <c r="I862" s="20">
        <f t="shared" ca="1" si="80"/>
        <v>0.14236693532265635</v>
      </c>
      <c r="J862" s="20">
        <f t="shared" ca="1" si="76"/>
        <v>0.1446773698322816</v>
      </c>
      <c r="K862" s="36">
        <v>14</v>
      </c>
    </row>
    <row r="863" spans="1:11" x14ac:dyDescent="0.25">
      <c r="A863" s="13" t="s">
        <v>7</v>
      </c>
      <c r="B863" s="29">
        <v>45427</v>
      </c>
      <c r="C863" s="20">
        <v>0.14000000000000001</v>
      </c>
      <c r="D863" s="30">
        <f t="shared" ca="1" si="77"/>
        <v>140.25132711785037</v>
      </c>
      <c r="E863" s="31">
        <f>+E862*(1+C862*F863/365)</f>
        <v>140.25132711785037</v>
      </c>
      <c r="F863" s="32">
        <f t="shared" si="79"/>
        <v>1</v>
      </c>
      <c r="G863" s="20">
        <f t="shared" ca="1" si="78"/>
        <v>0.14013046098631854</v>
      </c>
      <c r="H863" s="20">
        <f t="shared" ca="1" si="74"/>
        <v>0.14087631839140935</v>
      </c>
      <c r="I863" s="20">
        <f t="shared" ca="1" si="80"/>
        <v>0.14236693532265543</v>
      </c>
      <c r="J863" s="20">
        <f t="shared" ca="1" si="76"/>
        <v>0.1446773698322816</v>
      </c>
      <c r="K863" s="36">
        <v>14</v>
      </c>
    </row>
    <row r="864" spans="1:11" x14ac:dyDescent="0.25">
      <c r="A864" s="13" t="s">
        <v>7</v>
      </c>
      <c r="B864" s="29">
        <v>45428</v>
      </c>
      <c r="C864" s="20">
        <v>0.14000000000000001</v>
      </c>
      <c r="D864" s="30">
        <f t="shared" ca="1" si="77"/>
        <v>140.30512214742981</v>
      </c>
      <c r="E864" s="31">
        <f>+E863*(1+C863*F864/365)</f>
        <v>140.30512214742981</v>
      </c>
      <c r="F864" s="32">
        <f t="shared" si="79"/>
        <v>1</v>
      </c>
      <c r="G864" s="20">
        <f t="shared" ca="1" si="78"/>
        <v>0.14013046098631854</v>
      </c>
      <c r="H864" s="20">
        <f t="shared" ref="H864:H927" ca="1" si="81">($D864/OFFSET($D864,-30,0)-1)*365/30</f>
        <v>0.14087631839140935</v>
      </c>
      <c r="I864" s="20">
        <f t="shared" ca="1" si="80"/>
        <v>0.14236693532265543</v>
      </c>
      <c r="J864" s="20">
        <f t="shared" ca="1" si="76"/>
        <v>0.14467736983228116</v>
      </c>
      <c r="K864" s="36">
        <v>14</v>
      </c>
    </row>
    <row r="865" spans="1:11" x14ac:dyDescent="0.25">
      <c r="A865" s="13" t="s">
        <v>7</v>
      </c>
      <c r="B865" s="29">
        <v>45429</v>
      </c>
      <c r="C865" s="20">
        <v>0.14000000000000001</v>
      </c>
      <c r="D865" s="30">
        <f t="shared" ca="1" si="77"/>
        <v>140.35893781071925</v>
      </c>
      <c r="E865" s="31">
        <f>+E864*(1+C864*F865/365)</f>
        <v>140.35893781071925</v>
      </c>
      <c r="F865" s="32">
        <f t="shared" si="79"/>
        <v>1</v>
      </c>
      <c r="G865" s="20">
        <f t="shared" ca="1" si="78"/>
        <v>0.1401381469390604</v>
      </c>
      <c r="H865" s="20">
        <f t="shared" ca="1" si="81"/>
        <v>0.14087631839140666</v>
      </c>
      <c r="I865" s="20">
        <f t="shared" ca="1" si="80"/>
        <v>0.14236693532265543</v>
      </c>
      <c r="J865" s="20">
        <f t="shared" ca="1" si="76"/>
        <v>0.14467768919787918</v>
      </c>
      <c r="K865" s="36">
        <v>14</v>
      </c>
    </row>
    <row r="866" spans="1:11" x14ac:dyDescent="0.25">
      <c r="A866" s="23" t="s">
        <v>6</v>
      </c>
      <c r="B866" s="24">
        <v>45430</v>
      </c>
      <c r="C866" s="28">
        <v>0.14000000000000001</v>
      </c>
      <c r="D866" s="25">
        <f t="shared" ca="1" si="77"/>
        <v>140.41277411563297</v>
      </c>
      <c r="E866" s="26">
        <f>+E865*(1+C865*F866/365)</f>
        <v>140.41277411563297</v>
      </c>
      <c r="F866" s="27">
        <f t="shared" si="79"/>
        <v>1</v>
      </c>
      <c r="G866" s="28">
        <f t="shared" ca="1" si="78"/>
        <v>0.1401381469390604</v>
      </c>
      <c r="H866" s="28">
        <f t="shared" ca="1" si="81"/>
        <v>0.14087631839140935</v>
      </c>
      <c r="I866" s="28">
        <f t="shared" ca="1" si="80"/>
        <v>0.14236755244564964</v>
      </c>
      <c r="J866" s="28">
        <f t="shared" ca="1" si="76"/>
        <v>0.14467832768445735</v>
      </c>
      <c r="K866" s="36">
        <v>14</v>
      </c>
    </row>
    <row r="867" spans="1:11" x14ac:dyDescent="0.25">
      <c r="A867" s="23" t="s">
        <v>6</v>
      </c>
      <c r="B867" s="24">
        <v>45431</v>
      </c>
      <c r="C867" s="28">
        <v>0.14000000000000001</v>
      </c>
      <c r="D867" s="25">
        <f t="shared" ca="1" si="77"/>
        <v>140.46661042054663</v>
      </c>
      <c r="E867" s="26">
        <f>+E865*(1+C866*F867/365)</f>
        <v>140.46661042054663</v>
      </c>
      <c r="F867" s="27">
        <f t="shared" si="79"/>
        <v>2</v>
      </c>
      <c r="G867" s="28">
        <f t="shared" ca="1" si="78"/>
        <v>0.1401381469390604</v>
      </c>
      <c r="H867" s="28">
        <f t="shared" ca="1" si="81"/>
        <v>0.14087450909962421</v>
      </c>
      <c r="I867" s="28">
        <f t="shared" ca="1" si="80"/>
        <v>0.14236816909577751</v>
      </c>
      <c r="J867" s="28">
        <f t="shared" ca="1" si="76"/>
        <v>0.14467800831876521</v>
      </c>
      <c r="K867" s="36">
        <v>14</v>
      </c>
    </row>
    <row r="868" spans="1:11" x14ac:dyDescent="0.25">
      <c r="A868" s="13" t="s">
        <v>7</v>
      </c>
      <c r="B868" s="29">
        <v>45432</v>
      </c>
      <c r="C868" s="20">
        <v>0.14000000000000001</v>
      </c>
      <c r="D868" s="30">
        <f t="shared" ca="1" si="77"/>
        <v>140.52044672546035</v>
      </c>
      <c r="E868" s="31">
        <f>+E865*(1+C867*F868/365)</f>
        <v>140.52044672546035</v>
      </c>
      <c r="F868" s="32">
        <f t="shared" si="79"/>
        <v>3</v>
      </c>
      <c r="G868" s="20">
        <f t="shared" ca="1" si="78"/>
        <v>0.1401381469390604</v>
      </c>
      <c r="H868" s="20">
        <f t="shared" ca="1" si="81"/>
        <v>0.1408708919034824</v>
      </c>
      <c r="I868" s="20">
        <f t="shared" ca="1" si="80"/>
        <v>0.14236693532265543</v>
      </c>
      <c r="J868" s="20">
        <f t="shared" ca="1" si="76"/>
        <v>0.1446773698322816</v>
      </c>
      <c r="K868" s="36">
        <v>14</v>
      </c>
    </row>
    <row r="869" spans="1:11" x14ac:dyDescent="0.25">
      <c r="A869" s="13" t="s">
        <v>7</v>
      </c>
      <c r="B869" s="29">
        <v>45433</v>
      </c>
      <c r="C869" s="20">
        <v>0.14108599999999999</v>
      </c>
      <c r="D869" s="30">
        <f t="shared" ca="1" si="77"/>
        <v>140.57434497899888</v>
      </c>
      <c r="E869" s="31">
        <f>+E868*(1+C868*F869/365)</f>
        <v>140.57434497899888</v>
      </c>
      <c r="F869" s="32">
        <f t="shared" ref="F869:F887" si="82">IF(A868="Working day",1,(IF(A867="Working day",2,(IF(A866="Working day",3,IF(A865="Working day",4,IF(A864="Working day",5,6)))))))</f>
        <v>1</v>
      </c>
      <c r="G869" s="20">
        <f t="shared" ca="1" si="78"/>
        <v>0.1401381469390604</v>
      </c>
      <c r="H869" s="20">
        <f t="shared" ca="1" si="81"/>
        <v>0.14087270119473269</v>
      </c>
      <c r="I869" s="20">
        <f t="shared" ca="1" si="80"/>
        <v>0.14236693532265543</v>
      </c>
      <c r="J869" s="20">
        <f t="shared" ca="1" si="76"/>
        <v>0.14467736983228116</v>
      </c>
      <c r="K869" s="36">
        <v>14</v>
      </c>
    </row>
    <row r="870" spans="1:11" x14ac:dyDescent="0.25">
      <c r="A870" s="13" t="s">
        <v>7</v>
      </c>
      <c r="B870" s="29">
        <v>45434</v>
      </c>
      <c r="C870" s="20">
        <v>0.14000000000000001</v>
      </c>
      <c r="D870" s="30">
        <f t="shared" ca="1" si="77"/>
        <v>140.62868216265835</v>
      </c>
      <c r="E870" s="31">
        <f>+E869*(1+C869*F870/365)</f>
        <v>140.62868216265835</v>
      </c>
      <c r="F870" s="32">
        <f t="shared" si="82"/>
        <v>1</v>
      </c>
      <c r="G870" s="20">
        <f t="shared" ca="1" si="78"/>
        <v>0.14029364711127384</v>
      </c>
      <c r="H870" s="20">
        <f t="shared" ca="1" si="81"/>
        <v>0.14091292350637938</v>
      </c>
      <c r="I870" s="20">
        <f t="shared" ca="1" si="80"/>
        <v>0.14237942079076407</v>
      </c>
      <c r="J870" s="20">
        <f t="shared" ca="1" si="76"/>
        <v>0.14468383115202205</v>
      </c>
      <c r="K870" s="36">
        <v>14</v>
      </c>
    </row>
    <row r="871" spans="1:11" x14ac:dyDescent="0.25">
      <c r="A871" s="13" t="s">
        <v>7</v>
      </c>
      <c r="B871" s="29">
        <v>45435</v>
      </c>
      <c r="C871" s="20">
        <v>0.14000000000000001</v>
      </c>
      <c r="D871" s="30">
        <f t="shared" ca="1" si="77"/>
        <v>140.6826219311591</v>
      </c>
      <c r="E871" s="31">
        <f>+E870*(1+C870*F871/365)</f>
        <v>140.6826219311591</v>
      </c>
      <c r="F871" s="32">
        <f t="shared" si="82"/>
        <v>1</v>
      </c>
      <c r="G871" s="20">
        <f t="shared" ca="1" si="78"/>
        <v>0.14029364711127384</v>
      </c>
      <c r="H871" s="20">
        <f t="shared" ca="1" si="81"/>
        <v>0.14091292350637938</v>
      </c>
      <c r="I871" s="20">
        <f t="shared" ca="1" si="80"/>
        <v>0.14237942079076407</v>
      </c>
      <c r="J871" s="20">
        <f t="shared" ca="1" si="76"/>
        <v>0.14468383115202205</v>
      </c>
      <c r="K871" s="36">
        <v>14</v>
      </c>
    </row>
    <row r="872" spans="1:11" x14ac:dyDescent="0.25">
      <c r="A872" s="13" t="s">
        <v>7</v>
      </c>
      <c r="B872" s="29">
        <v>45436</v>
      </c>
      <c r="C872" s="20">
        <v>0.14000000000000001</v>
      </c>
      <c r="D872" s="30">
        <f t="shared" ca="1" si="77"/>
        <v>140.73658238888612</v>
      </c>
      <c r="E872" s="31">
        <f>+E871*(1+C871*F872/365)</f>
        <v>140.73658238888612</v>
      </c>
      <c r="F872" s="32">
        <f t="shared" si="82"/>
        <v>1</v>
      </c>
      <c r="G872" s="20">
        <f t="shared" ca="1" si="78"/>
        <v>0.14029364711126227</v>
      </c>
      <c r="H872" s="20">
        <f t="shared" ca="1" si="81"/>
        <v>0.14091292350637938</v>
      </c>
      <c r="I872" s="20">
        <f t="shared" ca="1" si="80"/>
        <v>0.14237942079076407</v>
      </c>
      <c r="J872" s="20">
        <f t="shared" ca="1" si="76"/>
        <v>0.14468415051857014</v>
      </c>
      <c r="K872" s="36">
        <v>14</v>
      </c>
    </row>
    <row r="873" spans="1:11" x14ac:dyDescent="0.25">
      <c r="A873" s="23" t="s">
        <v>6</v>
      </c>
      <c r="B873" s="24">
        <v>45437</v>
      </c>
      <c r="C873" s="28">
        <v>0.14000000000000001</v>
      </c>
      <c r="D873" s="25">
        <f t="shared" ca="1" si="77"/>
        <v>140.79056354377502</v>
      </c>
      <c r="E873" s="26">
        <f>+E872*(1+C872*F873/365)</f>
        <v>140.79056354377502</v>
      </c>
      <c r="F873" s="27">
        <f t="shared" si="82"/>
        <v>1</v>
      </c>
      <c r="G873" s="28">
        <f t="shared" ca="1" si="78"/>
        <v>0.14029364711126227</v>
      </c>
      <c r="H873" s="28">
        <f t="shared" ca="1" si="81"/>
        <v>0.14091292350637938</v>
      </c>
      <c r="I873" s="28">
        <f t="shared" ca="1" si="80"/>
        <v>0.14238003791559442</v>
      </c>
      <c r="J873" s="28">
        <f t="shared" ca="1" si="76"/>
        <v>0.14468478900704657</v>
      </c>
      <c r="K873" s="36">
        <v>14</v>
      </c>
    </row>
    <row r="874" spans="1:11" x14ac:dyDescent="0.25">
      <c r="A874" s="23" t="s">
        <v>6</v>
      </c>
      <c r="B874" s="24">
        <v>45438</v>
      </c>
      <c r="C874" s="28">
        <v>0.14000000000000001</v>
      </c>
      <c r="D874" s="25">
        <f t="shared" ca="1" si="77"/>
        <v>140.8445446986639</v>
      </c>
      <c r="E874" s="26">
        <f>+E872*(1+C873*F874/365)</f>
        <v>140.8445446986639</v>
      </c>
      <c r="F874" s="27">
        <f t="shared" si="82"/>
        <v>2</v>
      </c>
      <c r="G874" s="28">
        <f t="shared" ca="1" si="78"/>
        <v>0.14029364711127384</v>
      </c>
      <c r="H874" s="28">
        <f t="shared" ca="1" si="81"/>
        <v>0.14091111420921543</v>
      </c>
      <c r="I874" s="28">
        <f t="shared" ca="1" si="80"/>
        <v>0.14238065456755575</v>
      </c>
      <c r="J874" s="28">
        <f t="shared" ca="1" si="76"/>
        <v>0.14468446964040527</v>
      </c>
      <c r="K874" s="36">
        <v>14</v>
      </c>
    </row>
    <row r="875" spans="1:11" x14ac:dyDescent="0.25">
      <c r="A875" s="13" t="s">
        <v>7</v>
      </c>
      <c r="B875" s="29">
        <v>45439</v>
      </c>
      <c r="C875" s="20">
        <v>0.14021700000000001</v>
      </c>
      <c r="D875" s="30">
        <f t="shared" ca="1" si="77"/>
        <v>140.89852585355277</v>
      </c>
      <c r="E875" s="31">
        <f>+E872*(1+C874*F875/365)</f>
        <v>140.89852585355277</v>
      </c>
      <c r="F875" s="32">
        <f t="shared" si="82"/>
        <v>3</v>
      </c>
      <c r="G875" s="20">
        <f t="shared" ca="1" si="78"/>
        <v>0.14029364711126227</v>
      </c>
      <c r="H875" s="20">
        <f t="shared" ca="1" si="81"/>
        <v>0.14090749700231342</v>
      </c>
      <c r="I875" s="20">
        <f t="shared" ca="1" si="80"/>
        <v>0.14237942079076318</v>
      </c>
      <c r="J875" s="20">
        <f t="shared" ca="1" si="76"/>
        <v>0.14468383115202205</v>
      </c>
      <c r="K875" s="36">
        <v>14</v>
      </c>
    </row>
    <row r="876" spans="1:11" x14ac:dyDescent="0.25">
      <c r="A876" s="13" t="s">
        <v>7</v>
      </c>
      <c r="B876" s="29">
        <v>45440</v>
      </c>
      <c r="C876" s="20">
        <v>0.14000000000000001</v>
      </c>
      <c r="D876" s="30">
        <f t="shared" ca="1" si="77"/>
        <v>140.95265289081198</v>
      </c>
      <c r="E876" s="31">
        <f>+E875*(1+C875*F876/365)</f>
        <v>140.95265289081198</v>
      </c>
      <c r="F876" s="32">
        <f t="shared" si="82"/>
        <v>1</v>
      </c>
      <c r="G876" s="20">
        <f t="shared" ca="1" si="78"/>
        <v>0.1403247186008876</v>
      </c>
      <c r="H876" s="20">
        <f t="shared" ca="1" si="81"/>
        <v>0.1409166206002708</v>
      </c>
      <c r="I876" s="20">
        <f t="shared" ca="1" si="80"/>
        <v>0.14238191559245553</v>
      </c>
      <c r="J876" s="20">
        <f t="shared" ca="1" si="76"/>
        <v>0.14468684763586542</v>
      </c>
      <c r="K876" s="36">
        <v>14</v>
      </c>
    </row>
    <row r="877" spans="1:11" x14ac:dyDescent="0.25">
      <c r="A877" s="13" t="s">
        <v>7</v>
      </c>
      <c r="B877" s="29">
        <v>45441</v>
      </c>
      <c r="C877" s="20">
        <v>0.140097</v>
      </c>
      <c r="D877" s="30">
        <f t="shared" ca="1" si="77"/>
        <v>141.00671692205776</v>
      </c>
      <c r="E877" s="31">
        <f>+E876*(1+C876*F877/365)</f>
        <v>141.00671692205776</v>
      </c>
      <c r="F877" s="32">
        <f t="shared" si="82"/>
        <v>1</v>
      </c>
      <c r="G877" s="20">
        <f t="shared" ca="1" si="78"/>
        <v>0.14016921833625826</v>
      </c>
      <c r="H877" s="20">
        <f t="shared" ca="1" si="81"/>
        <v>0.14092023780985272</v>
      </c>
      <c r="I877" s="20">
        <f t="shared" ca="1" si="80"/>
        <v>0.14238191559245553</v>
      </c>
      <c r="J877" s="20">
        <f t="shared" ca="1" si="76"/>
        <v>0.14462087963369263</v>
      </c>
      <c r="K877" s="36">
        <v>14</v>
      </c>
    </row>
    <row r="878" spans="1:11" x14ac:dyDescent="0.25">
      <c r="A878" s="13" t="s">
        <v>7</v>
      </c>
      <c r="B878" s="29">
        <v>45442</v>
      </c>
      <c r="C878" s="20">
        <v>0.14000000000000001</v>
      </c>
      <c r="D878" s="30">
        <f t="shared" ca="1" si="77"/>
        <v>141.06083916321018</v>
      </c>
      <c r="E878" s="31">
        <f>+E877*(1+C877*F878/365)</f>
        <v>141.06083916321018</v>
      </c>
      <c r="F878" s="32">
        <f t="shared" si="82"/>
        <v>1</v>
      </c>
      <c r="G878" s="20">
        <f t="shared" ca="1" si="78"/>
        <v>0.14018310740224668</v>
      </c>
      <c r="H878" s="20">
        <f t="shared" ca="1" si="81"/>
        <v>0.14092350733915673</v>
      </c>
      <c r="I878" s="20">
        <f t="shared" ca="1" si="80"/>
        <v>0.14238303078097114</v>
      </c>
      <c r="J878" s="20">
        <f t="shared" ca="1" si="76"/>
        <v>0.14462145673472176</v>
      </c>
      <c r="K878" s="36">
        <v>14</v>
      </c>
    </row>
    <row r="879" spans="1:11" x14ac:dyDescent="0.25">
      <c r="A879" s="13" t="s">
        <v>7</v>
      </c>
      <c r="B879" s="29">
        <v>45443</v>
      </c>
      <c r="C879" s="20">
        <v>0.140205</v>
      </c>
      <c r="D879" s="30">
        <f t="shared" ca="1" si="77"/>
        <v>141.11494469056046</v>
      </c>
      <c r="E879" s="31">
        <f>+E878*(1+C878*F879/365)</f>
        <v>141.11494469056046</v>
      </c>
      <c r="F879" s="32">
        <f t="shared" si="82"/>
        <v>1</v>
      </c>
      <c r="G879" s="20">
        <f t="shared" ca="1" si="78"/>
        <v>0.14018310740225828</v>
      </c>
      <c r="H879" s="20">
        <f t="shared" ca="1" si="81"/>
        <v>0.14075497716382934</v>
      </c>
      <c r="I879" s="20">
        <f t="shared" ca="1" si="80"/>
        <v>0.14238303078097114</v>
      </c>
      <c r="J879" s="20">
        <f t="shared" ca="1" si="76"/>
        <v>0.14462177609209992</v>
      </c>
      <c r="K879" s="36">
        <v>14</v>
      </c>
    </row>
    <row r="880" spans="1:11" x14ac:dyDescent="0.25">
      <c r="A880" s="23" t="s">
        <v>6</v>
      </c>
      <c r="B880" s="24">
        <v>45444</v>
      </c>
      <c r="C880" s="28">
        <v>0.140205</v>
      </c>
      <c r="D880" s="25">
        <f t="shared" ca="1" si="77"/>
        <v>141.16915022705453</v>
      </c>
      <c r="E880" s="26">
        <f>+E879*(1+C879*F880/365)</f>
        <v>141.16915022705453</v>
      </c>
      <c r="F880" s="27">
        <f t="shared" si="82"/>
        <v>1</v>
      </c>
      <c r="G880" s="28">
        <f t="shared" ca="1" si="78"/>
        <v>0.14021246059074749</v>
      </c>
      <c r="H880" s="28">
        <f t="shared" ca="1" si="81"/>
        <v>0.14076188690101579</v>
      </c>
      <c r="I880" s="28">
        <f t="shared" ca="1" si="80"/>
        <v>0.14238600474901261</v>
      </c>
      <c r="J880" s="28">
        <f t="shared" ca="1" si="76"/>
        <v>0.14462363420961091</v>
      </c>
      <c r="K880" s="36">
        <v>14</v>
      </c>
    </row>
    <row r="881" spans="1:11" x14ac:dyDescent="0.25">
      <c r="A881" s="23" t="s">
        <v>6</v>
      </c>
      <c r="B881" s="24">
        <v>45445</v>
      </c>
      <c r="C881" s="28">
        <v>0.140205</v>
      </c>
      <c r="D881" s="25">
        <f t="shared" ca="1" si="77"/>
        <v>141.22335576354862</v>
      </c>
      <c r="E881" s="26">
        <f>+E879*(1+C880*F881/365)</f>
        <v>141.22335576354862</v>
      </c>
      <c r="F881" s="27">
        <f t="shared" si="82"/>
        <v>2</v>
      </c>
      <c r="G881" s="28">
        <f t="shared" ca="1" si="78"/>
        <v>0.1402417912790177</v>
      </c>
      <c r="H881" s="28">
        <f t="shared" ca="1" si="81"/>
        <v>0.14076698206567376</v>
      </c>
      <c r="I881" s="28">
        <f t="shared" ca="1" si="80"/>
        <v>0.1423889764382758</v>
      </c>
      <c r="J881" s="28">
        <f t="shared" ca="1" si="76"/>
        <v>0.1446245335642444</v>
      </c>
      <c r="K881" s="36">
        <v>14</v>
      </c>
    </row>
    <row r="882" spans="1:11" x14ac:dyDescent="0.25">
      <c r="A882" s="13" t="s">
        <v>7</v>
      </c>
      <c r="B882" s="29">
        <v>45446</v>
      </c>
      <c r="C882" s="20">
        <v>0.14000000000000001</v>
      </c>
      <c r="D882" s="30">
        <f t="shared" ca="1" si="77"/>
        <v>141.27756130004269</v>
      </c>
      <c r="E882" s="31">
        <f>+E879*(1+C881*F882/365)</f>
        <v>141.27756130004269</v>
      </c>
      <c r="F882" s="32">
        <f t="shared" si="82"/>
        <v>3</v>
      </c>
      <c r="G882" s="20">
        <f t="shared" ca="1" si="78"/>
        <v>0.14027109949287639</v>
      </c>
      <c r="H882" s="20">
        <f t="shared" ca="1" si="81"/>
        <v>0.14077026404824944</v>
      </c>
      <c r="I882" s="20">
        <f t="shared" ca="1" si="80"/>
        <v>0.14239009589024362</v>
      </c>
      <c r="J882" s="20">
        <f t="shared" ca="1" si="76"/>
        <v>0.14462511287157531</v>
      </c>
      <c r="K882" s="36">
        <v>14</v>
      </c>
    </row>
    <row r="883" spans="1:11" x14ac:dyDescent="0.25">
      <c r="A883" s="13" t="s">
        <v>7</v>
      </c>
      <c r="B883" s="29">
        <v>45447</v>
      </c>
      <c r="C883" s="20">
        <v>0.14000000000000001</v>
      </c>
      <c r="D883" s="30">
        <f t="shared" ca="1" si="77"/>
        <v>141.33174995369203</v>
      </c>
      <c r="E883" s="31">
        <f>+E882*(1+C882*F883/365)</f>
        <v>141.33174995369203</v>
      </c>
      <c r="F883" s="32">
        <f t="shared" si="82"/>
        <v>1</v>
      </c>
      <c r="G883" s="20">
        <f t="shared" ca="1" si="78"/>
        <v>0.14024002803511379</v>
      </c>
      <c r="H883" s="20">
        <f t="shared" ca="1" si="81"/>
        <v>0.14077207332470876</v>
      </c>
      <c r="I883" s="20">
        <f t="shared" ca="1" si="80"/>
        <v>0.14239009589024273</v>
      </c>
      <c r="J883" s="20">
        <f t="shared" ca="1" si="76"/>
        <v>0.14462511287157531</v>
      </c>
      <c r="K883" s="36">
        <v>14</v>
      </c>
    </row>
    <row r="884" spans="1:11" x14ac:dyDescent="0.25">
      <c r="A884" s="13" t="s">
        <v>7</v>
      </c>
      <c r="B884" s="29">
        <v>45448</v>
      </c>
      <c r="C884" s="20">
        <v>0.14000000000000001</v>
      </c>
      <c r="D884" s="30">
        <f t="shared" ca="1" si="77"/>
        <v>141.38595939203043</v>
      </c>
      <c r="E884" s="31">
        <f>+E883*(1+C883*F884/365)</f>
        <v>141.38595939203043</v>
      </c>
      <c r="F884" s="32">
        <f t="shared" si="82"/>
        <v>1</v>
      </c>
      <c r="G884" s="20">
        <f t="shared" ca="1" si="78"/>
        <v>0.14024002803511379</v>
      </c>
      <c r="H884" s="20">
        <f t="shared" ca="1" si="81"/>
        <v>0.14077569049180891</v>
      </c>
      <c r="I884" s="20">
        <f t="shared" ca="1" si="80"/>
        <v>0.14239009589024273</v>
      </c>
      <c r="J884" s="20">
        <f t="shared" ca="1" si="76"/>
        <v>0.14462468450717461</v>
      </c>
      <c r="K884" s="36">
        <v>14</v>
      </c>
    </row>
    <row r="885" spans="1:11" x14ac:dyDescent="0.25">
      <c r="A885" s="13" t="s">
        <v>7</v>
      </c>
      <c r="B885" s="29">
        <v>45449</v>
      </c>
      <c r="C885" s="20">
        <v>0.14000000000000001</v>
      </c>
      <c r="D885" s="30">
        <f t="shared" ca="1" si="77"/>
        <v>141.44018962303011</v>
      </c>
      <c r="E885" s="31">
        <f>+E884*(1+C884*F885/365)</f>
        <v>141.44018962303011</v>
      </c>
      <c r="F885" s="32">
        <f t="shared" si="82"/>
        <v>1</v>
      </c>
      <c r="G885" s="20">
        <f t="shared" ca="1" si="78"/>
        <v>0.14022613895399288</v>
      </c>
      <c r="H885" s="20">
        <f t="shared" ca="1" si="81"/>
        <v>0.14077569049180622</v>
      </c>
      <c r="I885" s="20">
        <f t="shared" ca="1" si="80"/>
        <v>0.14239009589024182</v>
      </c>
      <c r="J885" s="20">
        <f t="shared" ca="1" si="76"/>
        <v>0.1446245758290883</v>
      </c>
      <c r="K885" s="36">
        <v>14</v>
      </c>
    </row>
    <row r="886" spans="1:11" x14ac:dyDescent="0.25">
      <c r="A886" s="13" t="s">
        <v>7</v>
      </c>
      <c r="B886" s="29">
        <v>45450</v>
      </c>
      <c r="C886" s="20">
        <v>0.14000000000000001</v>
      </c>
      <c r="D886" s="30">
        <f t="shared" ca="1" si="77"/>
        <v>141.49444065466633</v>
      </c>
      <c r="E886" s="31">
        <f>+E885*(1+C885*F886/365)</f>
        <v>141.49444065466633</v>
      </c>
      <c r="F886" s="32">
        <f t="shared" si="82"/>
        <v>1</v>
      </c>
      <c r="G886" s="20">
        <f t="shared" ca="1" si="78"/>
        <v>0.14022613895399288</v>
      </c>
      <c r="H886" s="20">
        <f t="shared" ca="1" si="81"/>
        <v>0.14082581165441527</v>
      </c>
      <c r="I886" s="20">
        <f t="shared" ca="1" si="80"/>
        <v>0.14239071301664089</v>
      </c>
      <c r="J886" s="20">
        <f t="shared" ref="J886:J949" ca="1" si="83">($D886/OFFSET($D886,-180,0)-1)*365/180</f>
        <v>0.14462478659213879</v>
      </c>
      <c r="K886" s="36">
        <v>14</v>
      </c>
    </row>
    <row r="887" spans="1:11" x14ac:dyDescent="0.25">
      <c r="A887" s="23" t="s">
        <v>6</v>
      </c>
      <c r="B887" s="24">
        <v>45451</v>
      </c>
      <c r="C887" s="28">
        <v>0.14000000000000001</v>
      </c>
      <c r="D887" s="25">
        <f t="shared" ca="1" si="77"/>
        <v>141.54871249491745</v>
      </c>
      <c r="E887" s="26">
        <f>+E886*(1+C886*F887/365)</f>
        <v>141.54871249491745</v>
      </c>
      <c r="F887" s="27">
        <f t="shared" si="82"/>
        <v>1</v>
      </c>
      <c r="G887" s="28">
        <f t="shared" ca="1" si="78"/>
        <v>0.14019678575781586</v>
      </c>
      <c r="H887" s="28">
        <f t="shared" ca="1" si="81"/>
        <v>0.14082581165441527</v>
      </c>
      <c r="I887" s="28">
        <f t="shared" ca="1" si="80"/>
        <v>0.14239194679675185</v>
      </c>
      <c r="J887" s="28">
        <f t="shared" ca="1" si="83"/>
        <v>0.1446253165515721</v>
      </c>
      <c r="K887" s="36">
        <v>14</v>
      </c>
    </row>
    <row r="888" spans="1:11" x14ac:dyDescent="0.25">
      <c r="A888" s="23" t="s">
        <v>6</v>
      </c>
      <c r="B888" s="24">
        <v>45452</v>
      </c>
      <c r="C888" s="28">
        <v>0.14000000000000001</v>
      </c>
      <c r="D888" s="25">
        <f t="shared" ca="1" si="77"/>
        <v>141.60298433516854</v>
      </c>
      <c r="E888" s="26">
        <f>+E886*(1+C887*F888/365)</f>
        <v>141.60298433516854</v>
      </c>
      <c r="F888" s="27">
        <f t="shared" ref="F888:F894" si="84">IF(A887="Working day",1,(IF(A886="Working day",2,(IF(A885="Working day",3,IF(A884="Working day",4,IF(A883="Working day",5,6)))))))</f>
        <v>2</v>
      </c>
      <c r="G888" s="28">
        <f t="shared" ca="1" si="78"/>
        <v>0.14016745509479733</v>
      </c>
      <c r="H888" s="28">
        <f t="shared" ca="1" si="81"/>
        <v>0.14082581165441527</v>
      </c>
      <c r="I888" s="28">
        <f t="shared" ca="1" si="80"/>
        <v>0.14239317963184966</v>
      </c>
      <c r="J888" s="28">
        <f t="shared" ca="1" si="83"/>
        <v>0.14462499719367347</v>
      </c>
      <c r="K888" s="36">
        <v>14</v>
      </c>
    </row>
    <row r="889" spans="1:11" x14ac:dyDescent="0.25">
      <c r="A889" s="13" t="s">
        <v>7</v>
      </c>
      <c r="B889" s="29">
        <v>45453</v>
      </c>
      <c r="C889" s="20">
        <v>0.14000000000000001</v>
      </c>
      <c r="D889" s="30">
        <f t="shared" ca="1" si="77"/>
        <v>141.65725617541963</v>
      </c>
      <c r="E889" s="31">
        <f>+E886*(1+C888*F889/365)</f>
        <v>141.65725617541963</v>
      </c>
      <c r="F889" s="32">
        <f t="shared" si="84"/>
        <v>3</v>
      </c>
      <c r="G889" s="20">
        <f t="shared" ca="1" si="78"/>
        <v>0.14013814693903726</v>
      </c>
      <c r="H889" s="20">
        <f t="shared" ca="1" si="81"/>
        <v>0.14082219447258357</v>
      </c>
      <c r="I889" s="20">
        <f t="shared" ca="1" si="80"/>
        <v>0.14239194585137668</v>
      </c>
      <c r="J889" s="20">
        <f t="shared" ca="1" si="83"/>
        <v>0.14462435872276921</v>
      </c>
      <c r="K889" s="36">
        <v>14</v>
      </c>
    </row>
    <row r="890" spans="1:11" x14ac:dyDescent="0.25">
      <c r="A890" s="13" t="s">
        <v>7</v>
      </c>
      <c r="B890" s="29">
        <v>45454</v>
      </c>
      <c r="C890" s="20">
        <v>0.14000000000000001</v>
      </c>
      <c r="D890" s="30">
        <f t="shared" ca="1" si="77"/>
        <v>141.71159046545952</v>
      </c>
      <c r="E890" s="31">
        <f>+E889*(1+C889*F890/365)</f>
        <v>141.71159046545952</v>
      </c>
      <c r="F890" s="32">
        <f t="shared" si="84"/>
        <v>1</v>
      </c>
      <c r="G890" s="20">
        <f t="shared" ca="1" si="78"/>
        <v>0.14013814693903726</v>
      </c>
      <c r="H890" s="20">
        <f t="shared" ca="1" si="81"/>
        <v>0.14082400375667747</v>
      </c>
      <c r="I890" s="20">
        <f t="shared" ca="1" si="80"/>
        <v>0.14239194585137668</v>
      </c>
      <c r="J890" s="20">
        <f t="shared" ca="1" si="83"/>
        <v>0.14462435872276921</v>
      </c>
      <c r="K890" s="36">
        <v>14</v>
      </c>
    </row>
    <row r="891" spans="1:11" x14ac:dyDescent="0.25">
      <c r="A891" s="13" t="s">
        <v>7</v>
      </c>
      <c r="B891" s="29">
        <v>45455</v>
      </c>
      <c r="C891" s="20">
        <v>0.14000000000000001</v>
      </c>
      <c r="D891" s="30">
        <f t="shared" ca="1" si="77"/>
        <v>141.76594559604902</v>
      </c>
      <c r="E891" s="31">
        <f>+E890*(1+C890*F891/365)</f>
        <v>141.76594559604902</v>
      </c>
      <c r="F891" s="32">
        <f t="shared" si="84"/>
        <v>1</v>
      </c>
      <c r="G891" s="20">
        <f t="shared" ca="1" si="78"/>
        <v>0.14013814693904883</v>
      </c>
      <c r="H891" s="20">
        <f t="shared" ca="1" si="81"/>
        <v>0.14082762093903867</v>
      </c>
      <c r="I891" s="20">
        <f t="shared" ca="1" si="80"/>
        <v>0.1423919458513758</v>
      </c>
      <c r="J891" s="20">
        <f t="shared" ca="1" si="83"/>
        <v>0.14462435872276874</v>
      </c>
      <c r="K891" s="36">
        <v>14</v>
      </c>
    </row>
    <row r="892" spans="1:11" x14ac:dyDescent="0.25">
      <c r="A892" s="13" t="s">
        <v>7</v>
      </c>
      <c r="B892" s="29">
        <v>45456</v>
      </c>
      <c r="C892" s="20">
        <v>0.14000000000000001</v>
      </c>
      <c r="D892" s="30">
        <f t="shared" ca="1" si="77"/>
        <v>141.82032157518177</v>
      </c>
      <c r="E892" s="31">
        <f>+E891*(1+C891*F892/365)</f>
        <v>141.82032157518177</v>
      </c>
      <c r="F892" s="32">
        <f t="shared" si="84"/>
        <v>1</v>
      </c>
      <c r="G892" s="20">
        <f t="shared" ca="1" si="78"/>
        <v>0.14013814693904883</v>
      </c>
      <c r="H892" s="20">
        <f t="shared" ca="1" si="81"/>
        <v>0.14082762093903867</v>
      </c>
      <c r="I892" s="20">
        <f t="shared" ca="1" si="80"/>
        <v>0.1423919458513758</v>
      </c>
      <c r="J892" s="20">
        <f t="shared" ca="1" si="83"/>
        <v>0.14462435872276874</v>
      </c>
      <c r="K892" s="36">
        <v>14</v>
      </c>
    </row>
    <row r="893" spans="1:11" x14ac:dyDescent="0.25">
      <c r="A893" s="13" t="s">
        <v>7</v>
      </c>
      <c r="B893" s="29">
        <v>45457</v>
      </c>
      <c r="C893" s="20">
        <v>0.14000000000000001</v>
      </c>
      <c r="D893" s="30">
        <f t="shared" ca="1" si="77"/>
        <v>141.87471841085446</v>
      </c>
      <c r="E893" s="31">
        <f>+E892*(1+C892*F893/365)</f>
        <v>141.87471841085446</v>
      </c>
      <c r="F893" s="32">
        <f t="shared" si="84"/>
        <v>1</v>
      </c>
      <c r="G893" s="20">
        <f t="shared" ca="1" si="78"/>
        <v>0.1401381469390604</v>
      </c>
      <c r="H893" s="20">
        <f t="shared" ca="1" si="81"/>
        <v>0.14082762093903867</v>
      </c>
      <c r="I893" s="20">
        <f t="shared" ca="1" si="80"/>
        <v>0.1423919458513758</v>
      </c>
      <c r="J893" s="20">
        <f t="shared" ca="1" si="83"/>
        <v>0.14462467808057375</v>
      </c>
      <c r="K893" s="36">
        <v>14</v>
      </c>
    </row>
    <row r="894" spans="1:11" x14ac:dyDescent="0.25">
      <c r="A894" s="23" t="s">
        <v>6</v>
      </c>
      <c r="B894" s="24">
        <v>45458</v>
      </c>
      <c r="C894" s="28">
        <v>0.14000000000000001</v>
      </c>
      <c r="D894" s="25">
        <f t="shared" ca="1" si="77"/>
        <v>141.92913611106684</v>
      </c>
      <c r="E894" s="26">
        <f>+E893*(1+C893*F894/365)</f>
        <v>141.92913611106684</v>
      </c>
      <c r="F894" s="27">
        <f t="shared" si="84"/>
        <v>1</v>
      </c>
      <c r="G894" s="28">
        <f t="shared" ca="1" si="78"/>
        <v>0.14013814693904883</v>
      </c>
      <c r="H894" s="28">
        <f t="shared" ca="1" si="81"/>
        <v>0.14082762093903867</v>
      </c>
      <c r="I894" s="28">
        <f t="shared" ca="1" si="80"/>
        <v>0.1423925629780477</v>
      </c>
      <c r="J894" s="28">
        <f t="shared" ca="1" si="83"/>
        <v>0.14462531655157165</v>
      </c>
      <c r="K894" s="36">
        <v>14</v>
      </c>
    </row>
    <row r="895" spans="1:11" x14ac:dyDescent="0.25">
      <c r="A895" s="23" t="s">
        <v>6</v>
      </c>
      <c r="B895" s="24">
        <v>45459</v>
      </c>
      <c r="C895" s="28">
        <v>0.14000000000000001</v>
      </c>
      <c r="D895" s="25">
        <f t="shared" ca="1" si="77"/>
        <v>141.98355381127922</v>
      </c>
      <c r="E895" s="26">
        <f>+E893*(1+C894*F895/365)</f>
        <v>141.98355381127922</v>
      </c>
      <c r="F895" s="27">
        <f t="shared" ref="F895:F926" si="85">IF(A894="Working day",1,(IF(A893="Working day",2,(IF(A892="Working day",3,IF(A891="Working day",4,IF(A890="Working day",5,6)))))))</f>
        <v>2</v>
      </c>
      <c r="G895" s="28">
        <f t="shared" ca="1" si="78"/>
        <v>0.1401381469390604</v>
      </c>
      <c r="H895" s="28">
        <f t="shared" ca="1" si="81"/>
        <v>0.14082581165441527</v>
      </c>
      <c r="I895" s="28">
        <f t="shared" ca="1" si="80"/>
        <v>0.14239317963184966</v>
      </c>
      <c r="J895" s="28">
        <f t="shared" ca="1" si="83"/>
        <v>0.14462499719367347</v>
      </c>
      <c r="K895" s="36">
        <v>14</v>
      </c>
    </row>
    <row r="896" spans="1:11" x14ac:dyDescent="0.25">
      <c r="A896" s="23" t="s">
        <v>6</v>
      </c>
      <c r="B896" s="24">
        <v>45460</v>
      </c>
      <c r="C896" s="28">
        <v>0.14000000000000001</v>
      </c>
      <c r="D896" s="25">
        <f t="shared" ca="1" si="77"/>
        <v>142.03797151149161</v>
      </c>
      <c r="E896" s="26">
        <f>+E895*(1+C895*F896/365)</f>
        <v>142.14693214717164</v>
      </c>
      <c r="F896" s="27">
        <f t="shared" si="85"/>
        <v>3</v>
      </c>
      <c r="G896" s="28">
        <f t="shared" ca="1" si="78"/>
        <v>0.1401381469390604</v>
      </c>
      <c r="H896" s="28">
        <f t="shared" ca="1" si="81"/>
        <v>0.14082219447258357</v>
      </c>
      <c r="I896" s="28">
        <f t="shared" ca="1" si="80"/>
        <v>0.14239194585137668</v>
      </c>
      <c r="J896" s="28">
        <f t="shared" ca="1" si="83"/>
        <v>0.14462435872276966</v>
      </c>
      <c r="K896" s="36">
        <v>14</v>
      </c>
    </row>
    <row r="897" spans="1:11" x14ac:dyDescent="0.25">
      <c r="A897" s="23" t="s">
        <v>6</v>
      </c>
      <c r="B897" s="24">
        <v>45461</v>
      </c>
      <c r="C897" s="28">
        <v>0.14000000000000001</v>
      </c>
      <c r="D897" s="25">
        <f t="shared" ca="1" si="77"/>
        <v>142.09238921170399</v>
      </c>
      <c r="E897" s="26">
        <f>+E895*(1+C896*F897/365)</f>
        <v>142.20139159246915</v>
      </c>
      <c r="F897" s="27">
        <f t="shared" si="85"/>
        <v>4</v>
      </c>
      <c r="G897" s="28">
        <f t="shared" ca="1" si="78"/>
        <v>0.1401151067487619</v>
      </c>
      <c r="H897" s="28">
        <f t="shared" ca="1" si="81"/>
        <v>0.14081858006345593</v>
      </c>
      <c r="I897" s="28">
        <f t="shared" ca="1" si="80"/>
        <v>0.14239009589024093</v>
      </c>
      <c r="J897" s="28">
        <f t="shared" ca="1" si="83"/>
        <v>0.14462340138361193</v>
      </c>
      <c r="K897" s="36">
        <v>14</v>
      </c>
    </row>
    <row r="898" spans="1:11" x14ac:dyDescent="0.25">
      <c r="A898" s="13" t="s">
        <v>7</v>
      </c>
      <c r="B898" s="29">
        <v>45462</v>
      </c>
      <c r="C898" s="20">
        <v>0.14000000000000001</v>
      </c>
      <c r="D898" s="30">
        <f t="shared" ca="1" si="77"/>
        <v>142.14680691191634</v>
      </c>
      <c r="E898" s="31">
        <f>+E893*(1+C897*F898/365)</f>
        <v>142.14680691191634</v>
      </c>
      <c r="F898" s="32">
        <f t="shared" si="85"/>
        <v>5</v>
      </c>
      <c r="G898" s="20">
        <f t="shared" ca="1" si="78"/>
        <v>0.14008439827360236</v>
      </c>
      <c r="H898" s="20">
        <f t="shared" ca="1" si="81"/>
        <v>0.14081496842382829</v>
      </c>
      <c r="I898" s="20">
        <f t="shared" ca="1" si="80"/>
        <v>0.1423876302211286</v>
      </c>
      <c r="J898" s="20">
        <f t="shared" ca="1" si="83"/>
        <v>0.14462212542081235</v>
      </c>
      <c r="K898" s="36">
        <v>14</v>
      </c>
    </row>
    <row r="899" spans="1:11" x14ac:dyDescent="0.25">
      <c r="A899" s="13" t="s">
        <v>7</v>
      </c>
      <c r="B899" s="29">
        <v>45463</v>
      </c>
      <c r="C899" s="20">
        <v>0.14000000000000001</v>
      </c>
      <c r="D899" s="30">
        <f t="shared" ref="D899:D962" ca="1" si="86">+IF(F899=1,D898*(1+C898*F899/365),OFFSET(D898,-F899+1,0)*(1+C898*F899/365))</f>
        <v>142.20132897484146</v>
      </c>
      <c r="E899" s="31">
        <f>+E898*(1+C898*F899/365)</f>
        <v>142.20132897484146</v>
      </c>
      <c r="F899" s="32">
        <f t="shared" si="85"/>
        <v>1</v>
      </c>
      <c r="G899" s="20">
        <f t="shared" ca="1" si="78"/>
        <v>0.14008439827359079</v>
      </c>
      <c r="H899" s="20">
        <f t="shared" ca="1" si="81"/>
        <v>0.14081496842382829</v>
      </c>
      <c r="I899" s="20">
        <f t="shared" ca="1" si="80"/>
        <v>0.14238824734716565</v>
      </c>
      <c r="J899" s="20">
        <f t="shared" ca="1" si="83"/>
        <v>0.14462212542081235</v>
      </c>
      <c r="K899" s="36">
        <v>14</v>
      </c>
    </row>
    <row r="900" spans="1:11" x14ac:dyDescent="0.25">
      <c r="A900" s="13" t="s">
        <v>7</v>
      </c>
      <c r="B900" s="29">
        <v>45464</v>
      </c>
      <c r="C900" s="20">
        <v>0.14000000000000001</v>
      </c>
      <c r="D900" s="30">
        <f t="shared" ca="1" si="86"/>
        <v>142.25587195033867</v>
      </c>
      <c r="E900" s="31">
        <f>+E899*(1+C899*F900/365)</f>
        <v>142.25587195033867</v>
      </c>
      <c r="F900" s="32">
        <f t="shared" si="85"/>
        <v>1</v>
      </c>
      <c r="G900" s="20">
        <f t="shared" ca="1" si="78"/>
        <v>0.14008439827359079</v>
      </c>
      <c r="H900" s="20">
        <f t="shared" ca="1" si="81"/>
        <v>0.14077836360019264</v>
      </c>
      <c r="I900" s="20">
        <f t="shared" ca="1" si="80"/>
        <v>0.1423894811265517</v>
      </c>
      <c r="J900" s="20">
        <f t="shared" ca="1" si="83"/>
        <v>0.14462244477828909</v>
      </c>
      <c r="K900" s="36">
        <v>14</v>
      </c>
    </row>
    <row r="901" spans="1:11" x14ac:dyDescent="0.25">
      <c r="A901" s="23" t="s">
        <v>6</v>
      </c>
      <c r="B901" s="24">
        <v>45465</v>
      </c>
      <c r="C901" s="28">
        <v>0.14000000000000001</v>
      </c>
      <c r="D901" s="25">
        <f t="shared" ca="1" si="86"/>
        <v>142.31043584642921</v>
      </c>
      <c r="E901" s="26">
        <f>+E900*(1+C900*F901/365)</f>
        <v>142.31043584642921</v>
      </c>
      <c r="F901" s="27">
        <f t="shared" si="85"/>
        <v>1</v>
      </c>
      <c r="G901" s="28">
        <f t="shared" ca="1" si="78"/>
        <v>0.14008439827359079</v>
      </c>
      <c r="H901" s="28">
        <f t="shared" ca="1" si="81"/>
        <v>0.14077836360019264</v>
      </c>
      <c r="I901" s="28">
        <f t="shared" ca="1" si="80"/>
        <v>0.1423913310874155</v>
      </c>
      <c r="J901" s="28">
        <f t="shared" ca="1" si="83"/>
        <v>0.14462308324863007</v>
      </c>
      <c r="K901" s="36">
        <v>14</v>
      </c>
    </row>
    <row r="902" spans="1:11" x14ac:dyDescent="0.25">
      <c r="A902" s="23" t="s">
        <v>6</v>
      </c>
      <c r="B902" s="24">
        <v>45466</v>
      </c>
      <c r="C902" s="28">
        <v>0.14000000000000001</v>
      </c>
      <c r="D902" s="25">
        <f t="shared" ca="1" si="86"/>
        <v>142.36499974251973</v>
      </c>
      <c r="E902" s="26">
        <f>+E900*(1+C901*F902/365)</f>
        <v>142.36499974251973</v>
      </c>
      <c r="F902" s="27">
        <f t="shared" si="85"/>
        <v>2</v>
      </c>
      <c r="G902" s="28">
        <f t="shared" ca="1" si="78"/>
        <v>0.14008439827357919</v>
      </c>
      <c r="H902" s="28">
        <f t="shared" ca="1" si="81"/>
        <v>0.14077655432280936</v>
      </c>
      <c r="I902" s="28">
        <f t="shared" ca="1" si="80"/>
        <v>0.14239317963184786</v>
      </c>
      <c r="J902" s="28">
        <f t="shared" ca="1" si="83"/>
        <v>0.14462276389105921</v>
      </c>
      <c r="K902" s="36">
        <v>14</v>
      </c>
    </row>
    <row r="903" spans="1:11" x14ac:dyDescent="0.25">
      <c r="A903" s="13" t="s">
        <v>7</v>
      </c>
      <c r="B903" s="29">
        <v>45467</v>
      </c>
      <c r="C903" s="20">
        <v>0.14000000000000001</v>
      </c>
      <c r="D903" s="30">
        <f t="shared" ca="1" si="86"/>
        <v>142.4195636386103</v>
      </c>
      <c r="E903" s="31">
        <f>+E900*(1+C902*F903/365)</f>
        <v>142.4195636386103</v>
      </c>
      <c r="F903" s="32">
        <f t="shared" si="85"/>
        <v>3</v>
      </c>
      <c r="G903" s="20">
        <f t="shared" ca="1" si="78"/>
        <v>0.14008439827359079</v>
      </c>
      <c r="H903" s="20">
        <f t="shared" ca="1" si="81"/>
        <v>0.14077293715545794</v>
      </c>
      <c r="I903" s="20">
        <f t="shared" ca="1" si="80"/>
        <v>0.1423919458513758</v>
      </c>
      <c r="J903" s="20">
        <f t="shared" ca="1" si="83"/>
        <v>0.1446221254208119</v>
      </c>
      <c r="K903" s="36">
        <v>14</v>
      </c>
    </row>
    <row r="904" spans="1:11" x14ac:dyDescent="0.25">
      <c r="A904" s="13" t="s">
        <v>7</v>
      </c>
      <c r="B904" s="29">
        <v>45468</v>
      </c>
      <c r="C904" s="20">
        <v>0.14092099999999999</v>
      </c>
      <c r="D904" s="30">
        <f t="shared" ca="1" si="86"/>
        <v>142.47419032055387</v>
      </c>
      <c r="E904" s="31">
        <f>+E903*(1+C903*F904/365)</f>
        <v>142.47419032055387</v>
      </c>
      <c r="F904" s="32">
        <f t="shared" si="85"/>
        <v>1</v>
      </c>
      <c r="G904" s="20">
        <f t="shared" ca="1" si="78"/>
        <v>0.14010743845036613</v>
      </c>
      <c r="H904" s="20">
        <f t="shared" ca="1" si="81"/>
        <v>0.14077474643230628</v>
      </c>
      <c r="I904" s="20">
        <f t="shared" ca="1" si="80"/>
        <v>0.1423919458513758</v>
      </c>
      <c r="J904" s="20">
        <f t="shared" ca="1" si="83"/>
        <v>0.1446221254208119</v>
      </c>
      <c r="K904" s="36">
        <v>14</v>
      </c>
    </row>
    <row r="905" spans="1:11" x14ac:dyDescent="0.25">
      <c r="A905" s="13" t="s">
        <v>7</v>
      </c>
      <c r="B905" s="29">
        <v>45469</v>
      </c>
      <c r="C905" s="20">
        <v>0.14000000000000001</v>
      </c>
      <c r="D905" s="30">
        <f t="shared" ca="1" si="86"/>
        <v>142.52919745856528</v>
      </c>
      <c r="E905" s="31">
        <f>+E904*(1+C904*F905/365)</f>
        <v>142.52919745856528</v>
      </c>
      <c r="F905" s="32">
        <f t="shared" si="85"/>
        <v>1</v>
      </c>
      <c r="G905" s="20">
        <f t="shared" ref="G905:G968" ca="1" si="87">(D905/OFFSET(D905,-7,0)-1)*365/7</f>
        <v>0.14027002139450137</v>
      </c>
      <c r="H905" s="20">
        <f t="shared" ca="1" si="81"/>
        <v>0.14080940691747659</v>
      </c>
      <c r="I905" s="20">
        <f t="shared" ca="1" si="80"/>
        <v>0.14240253441918127</v>
      </c>
      <c r="J905" s="20">
        <f t="shared" ca="1" si="83"/>
        <v>0.14462760490898297</v>
      </c>
      <c r="K905" s="36">
        <v>14</v>
      </c>
    </row>
    <row r="906" spans="1:11" x14ac:dyDescent="0.25">
      <c r="A906" s="13" t="s">
        <v>7</v>
      </c>
      <c r="B906" s="29">
        <v>45470</v>
      </c>
      <c r="C906" s="20">
        <v>0.14000000000000001</v>
      </c>
      <c r="D906" s="30">
        <f t="shared" ca="1" si="86"/>
        <v>142.58386619183707</v>
      </c>
      <c r="E906" s="31">
        <f>+E905*(1+C905*F906/365)</f>
        <v>142.58386619183707</v>
      </c>
      <c r="F906" s="32">
        <f t="shared" si="85"/>
        <v>1</v>
      </c>
      <c r="G906" s="20">
        <f t="shared" ca="1" si="87"/>
        <v>0.14027002139451294</v>
      </c>
      <c r="H906" s="20">
        <f t="shared" ca="1" si="81"/>
        <v>0.14080209267986687</v>
      </c>
      <c r="I906" s="20">
        <f t="shared" ca="1" si="80"/>
        <v>0.14240253441918216</v>
      </c>
      <c r="J906" s="20">
        <f t="shared" ca="1" si="83"/>
        <v>0.14465735288415257</v>
      </c>
      <c r="K906" s="36">
        <v>14</v>
      </c>
    </row>
    <row r="907" spans="1:11" x14ac:dyDescent="0.25">
      <c r="A907" s="13" t="s">
        <v>7</v>
      </c>
      <c r="B907" s="29">
        <v>45471</v>
      </c>
      <c r="C907" s="20">
        <v>0.14000000000000001</v>
      </c>
      <c r="D907" s="30">
        <f t="shared" ca="1" si="86"/>
        <v>142.63855589393808</v>
      </c>
      <c r="E907" s="31">
        <f>+E906*(1+C906*F907/365)</f>
        <v>142.63855589393808</v>
      </c>
      <c r="F907" s="32">
        <f t="shared" si="85"/>
        <v>1</v>
      </c>
      <c r="G907" s="20">
        <f t="shared" ca="1" si="87"/>
        <v>0.14027002139451294</v>
      </c>
      <c r="H907" s="20">
        <f t="shared" ca="1" si="81"/>
        <v>0.14080209267986957</v>
      </c>
      <c r="I907" s="20">
        <f t="shared" ca="1" si="80"/>
        <v>0.14240253441918216</v>
      </c>
      <c r="J907" s="20">
        <f t="shared" ca="1" si="83"/>
        <v>0.14468739823726054</v>
      </c>
      <c r="K907" s="36">
        <v>14</v>
      </c>
    </row>
    <row r="908" spans="1:11" x14ac:dyDescent="0.25">
      <c r="A908" s="23" t="s">
        <v>6</v>
      </c>
      <c r="B908" s="24">
        <v>45472</v>
      </c>
      <c r="C908" s="28">
        <v>0.14000000000000001</v>
      </c>
      <c r="D908" s="25">
        <f t="shared" ca="1" si="86"/>
        <v>142.69326657291111</v>
      </c>
      <c r="E908" s="26">
        <f>+E907*(1+C907*F908/365)</f>
        <v>142.69326657291111</v>
      </c>
      <c r="F908" s="27">
        <f t="shared" si="85"/>
        <v>1</v>
      </c>
      <c r="G908" s="28">
        <f t="shared" ca="1" si="87"/>
        <v>0.14027002139451294</v>
      </c>
      <c r="H908" s="28">
        <f t="shared" ca="1" si="81"/>
        <v>0.14079882318282197</v>
      </c>
      <c r="I908" s="28">
        <f t="shared" ca="1" si="80"/>
        <v>0.14240315154741107</v>
      </c>
      <c r="J908" s="28">
        <f t="shared" ca="1" si="83"/>
        <v>0.1447177407611589</v>
      </c>
      <c r="K908" s="36">
        <v>14</v>
      </c>
    </row>
    <row r="909" spans="1:11" x14ac:dyDescent="0.25">
      <c r="A909" s="23" t="s">
        <v>6</v>
      </c>
      <c r="B909" s="24">
        <v>45473</v>
      </c>
      <c r="C909" s="28">
        <v>0.14000000000000001</v>
      </c>
      <c r="D909" s="25">
        <f t="shared" ca="1" si="86"/>
        <v>142.74797725188409</v>
      </c>
      <c r="E909" s="26">
        <f>+E907*(1+C908*F909/365)</f>
        <v>142.74797725188409</v>
      </c>
      <c r="F909" s="27">
        <f t="shared" si="85"/>
        <v>2</v>
      </c>
      <c r="G909" s="28">
        <f t="shared" ca="1" si="87"/>
        <v>0.14027002139451294</v>
      </c>
      <c r="H909" s="28">
        <f t="shared" ca="1" si="81"/>
        <v>0.14079701390242919</v>
      </c>
      <c r="I909" s="28">
        <f t="shared" ca="1" si="80"/>
        <v>0.14240376820276732</v>
      </c>
      <c r="J909" s="28">
        <f t="shared" ca="1" si="83"/>
        <v>0.14474806087305953</v>
      </c>
      <c r="K909" s="36">
        <v>14</v>
      </c>
    </row>
    <row r="910" spans="1:11" x14ac:dyDescent="0.25">
      <c r="A910" s="13" t="s">
        <v>7</v>
      </c>
      <c r="B910" s="29">
        <v>45474</v>
      </c>
      <c r="C910" s="20">
        <v>0.14000000000000001</v>
      </c>
      <c r="D910" s="30">
        <f t="shared" ca="1" si="86"/>
        <v>142.80268793085713</v>
      </c>
      <c r="E910" s="31">
        <f>+E907*(1+C909*F910/365)</f>
        <v>142.80268793085713</v>
      </c>
      <c r="F910" s="32">
        <f t="shared" si="85"/>
        <v>3</v>
      </c>
      <c r="G910" s="20">
        <f t="shared" ca="1" si="87"/>
        <v>0.14027002139451294</v>
      </c>
      <c r="H910" s="20">
        <f t="shared" ca="1" si="81"/>
        <v>0.14078648697418797</v>
      </c>
      <c r="I910" s="20">
        <f t="shared" ca="1" si="80"/>
        <v>0.14240253441918216</v>
      </c>
      <c r="J910" s="20">
        <f t="shared" ca="1" si="83"/>
        <v>0.14477835859778557</v>
      </c>
      <c r="K910" s="36">
        <v>14</v>
      </c>
    </row>
    <row r="911" spans="1:11" x14ac:dyDescent="0.25">
      <c r="A911" s="13" t="s">
        <v>7</v>
      </c>
      <c r="B911" s="29">
        <v>45475</v>
      </c>
      <c r="C911" s="20">
        <v>0.14000000000000001</v>
      </c>
      <c r="D911" s="30">
        <f t="shared" ca="1" si="86"/>
        <v>142.85746156458404</v>
      </c>
      <c r="E911" s="31">
        <f>+E910*(1+C910*F911/365)</f>
        <v>142.85746156458404</v>
      </c>
      <c r="F911" s="32">
        <f t="shared" si="85"/>
        <v>1</v>
      </c>
      <c r="G911" s="20">
        <f t="shared" ca="1" si="87"/>
        <v>0.14027002139451294</v>
      </c>
      <c r="H911" s="20">
        <f t="shared" ca="1" si="81"/>
        <v>0.14078139180145513</v>
      </c>
      <c r="I911" s="20">
        <f t="shared" ca="1" si="80"/>
        <v>0.14240253441918216</v>
      </c>
      <c r="J911" s="20">
        <f t="shared" ca="1" si="83"/>
        <v>0.14477835859778557</v>
      </c>
      <c r="K911" s="36">
        <v>14</v>
      </c>
    </row>
    <row r="912" spans="1:11" x14ac:dyDescent="0.25">
      <c r="A912" s="13" t="s">
        <v>7</v>
      </c>
      <c r="B912" s="29">
        <v>45476</v>
      </c>
      <c r="C912" s="20">
        <v>0.14000000000000001</v>
      </c>
      <c r="D912" s="30">
        <f t="shared" ca="1" si="86"/>
        <v>142.91225620737595</v>
      </c>
      <c r="E912" s="31">
        <f>+E911*(1+C911*F912/365)</f>
        <v>142.91225620737595</v>
      </c>
      <c r="F912" s="32">
        <f t="shared" si="85"/>
        <v>1</v>
      </c>
      <c r="G912" s="20">
        <f t="shared" ca="1" si="87"/>
        <v>0.14013814693907198</v>
      </c>
      <c r="H912" s="20">
        <f t="shared" ca="1" si="81"/>
        <v>0.14077810981591046</v>
      </c>
      <c r="I912" s="20">
        <f t="shared" ca="1" si="80"/>
        <v>0.14246001943280748</v>
      </c>
      <c r="J912" s="20">
        <f t="shared" ca="1" si="83"/>
        <v>0.14477835859778557</v>
      </c>
      <c r="K912" s="36">
        <v>14</v>
      </c>
    </row>
    <row r="913" spans="1:11" x14ac:dyDescent="0.25">
      <c r="A913" s="13" t="s">
        <v>7</v>
      </c>
      <c r="B913" s="29">
        <v>45477</v>
      </c>
      <c r="C913" s="20">
        <v>0.13736400000000001</v>
      </c>
      <c r="D913" s="30">
        <f t="shared" ca="1" si="86"/>
        <v>142.96707186729111</v>
      </c>
      <c r="E913" s="31">
        <f>+E912*(1+C912*F913/365)</f>
        <v>142.96707186729111</v>
      </c>
      <c r="F913" s="32">
        <f t="shared" si="85"/>
        <v>1</v>
      </c>
      <c r="G913" s="20">
        <f t="shared" ca="1" si="87"/>
        <v>0.14013814693907198</v>
      </c>
      <c r="H913" s="20">
        <f t="shared" ca="1" si="81"/>
        <v>0.14077810981591046</v>
      </c>
      <c r="I913" s="20">
        <f t="shared" ca="1" si="80"/>
        <v>0.14246001943280748</v>
      </c>
      <c r="J913" s="20">
        <f t="shared" ca="1" si="83"/>
        <v>0.14477835859778557</v>
      </c>
      <c r="K913" s="36">
        <v>14</v>
      </c>
    </row>
    <row r="914" spans="1:11" x14ac:dyDescent="0.25">
      <c r="A914" s="13" t="s">
        <v>7</v>
      </c>
      <c r="B914" s="29">
        <v>45478</v>
      </c>
      <c r="C914" s="20">
        <v>0.13791500000000001</v>
      </c>
      <c r="D914" s="30">
        <f t="shared" ca="1" si="86"/>
        <v>143.02087605594861</v>
      </c>
      <c r="E914" s="31">
        <f>+E913*(1+C913*F914/365)</f>
        <v>143.02087605594861</v>
      </c>
      <c r="F914" s="32">
        <f t="shared" si="85"/>
        <v>1</v>
      </c>
      <c r="G914" s="20">
        <f t="shared" ca="1" si="87"/>
        <v>0.13976070821533118</v>
      </c>
      <c r="H914" s="20">
        <f t="shared" ca="1" si="81"/>
        <v>0.1406892605404802</v>
      </c>
      <c r="I914" s="20">
        <f t="shared" ca="1" si="80"/>
        <v>0.1424297133336242</v>
      </c>
      <c r="J914" s="20">
        <f t="shared" ca="1" si="83"/>
        <v>0.14476267459171799</v>
      </c>
      <c r="K914" s="36">
        <v>14</v>
      </c>
    </row>
    <row r="915" spans="1:11" x14ac:dyDescent="0.25">
      <c r="A915" s="23" t="s">
        <v>6</v>
      </c>
      <c r="B915" s="24">
        <v>45479</v>
      </c>
      <c r="C915" s="28">
        <v>0.13791500000000001</v>
      </c>
      <c r="D915" s="25">
        <f t="shared" ca="1" si="86"/>
        <v>143.07491639600684</v>
      </c>
      <c r="E915" s="26">
        <f>+E914*(1+C914*F915/365)</f>
        <v>143.07491639600684</v>
      </c>
      <c r="F915" s="27">
        <f t="shared" si="85"/>
        <v>1</v>
      </c>
      <c r="G915" s="28">
        <f t="shared" ca="1" si="87"/>
        <v>0.13946216722222721</v>
      </c>
      <c r="H915" s="28">
        <f t="shared" ca="1" si="81"/>
        <v>0.14061898383261887</v>
      </c>
      <c r="I915" s="28">
        <f t="shared" ca="1" si="80"/>
        <v>0.14240635938469498</v>
      </c>
      <c r="J915" s="28">
        <f t="shared" ca="1" si="83"/>
        <v>0.1447505884609856</v>
      </c>
      <c r="K915" s="36">
        <v>14</v>
      </c>
    </row>
    <row r="916" spans="1:11" x14ac:dyDescent="0.25">
      <c r="A916" s="23" t="s">
        <v>6</v>
      </c>
      <c r="B916" s="24">
        <v>45480</v>
      </c>
      <c r="C916" s="28">
        <v>0.13791500000000001</v>
      </c>
      <c r="D916" s="25">
        <f t="shared" ca="1" si="86"/>
        <v>143.12895673606508</v>
      </c>
      <c r="E916" s="26">
        <f>+E914*(1+C915*F916/365)</f>
        <v>143.12895673606508</v>
      </c>
      <c r="F916" s="27">
        <f t="shared" si="85"/>
        <v>2</v>
      </c>
      <c r="G916" s="28">
        <f t="shared" ca="1" si="87"/>
        <v>0.13916385507134382</v>
      </c>
      <c r="H916" s="28">
        <f t="shared" ca="1" si="81"/>
        <v>0.14054695175070725</v>
      </c>
      <c r="I916" s="28">
        <f t="shared" ca="1" si="80"/>
        <v>0.14238302333053063</v>
      </c>
      <c r="J916" s="28">
        <f t="shared" ca="1" si="83"/>
        <v>0.14474382291872998</v>
      </c>
      <c r="K916" s="36">
        <v>14</v>
      </c>
    </row>
    <row r="917" spans="1:11" x14ac:dyDescent="0.25">
      <c r="A917" s="13" t="s">
        <v>7</v>
      </c>
      <c r="B917" s="29">
        <v>45481</v>
      </c>
      <c r="C917" s="20">
        <v>0.14000000000000001</v>
      </c>
      <c r="D917" s="30">
        <f t="shared" ca="1" si="86"/>
        <v>143.18299707612331</v>
      </c>
      <c r="E917" s="31">
        <f>+E914*(1+C916*F917/365)</f>
        <v>143.18299707612331</v>
      </c>
      <c r="F917" s="32">
        <f t="shared" si="85"/>
        <v>3</v>
      </c>
      <c r="G917" s="20">
        <f t="shared" ca="1" si="87"/>
        <v>0.13886577149961635</v>
      </c>
      <c r="H917" s="20">
        <f t="shared" ca="1" si="81"/>
        <v>0.14047316565114401</v>
      </c>
      <c r="I917" s="20">
        <f t="shared" ca="1" si="80"/>
        <v>0.14235785520364588</v>
      </c>
      <c r="J917" s="20">
        <f t="shared" ca="1" si="83"/>
        <v>0.14473198784304853</v>
      </c>
      <c r="K917" s="36">
        <v>14</v>
      </c>
    </row>
    <row r="918" spans="1:11" x14ac:dyDescent="0.25">
      <c r="A918" s="13" t="s">
        <v>7</v>
      </c>
      <c r="B918" s="29">
        <v>45482</v>
      </c>
      <c r="C918" s="20">
        <v>0.14000000000000001</v>
      </c>
      <c r="D918" s="30">
        <f t="shared" ca="1" si="86"/>
        <v>143.23791658185115</v>
      </c>
      <c r="E918" s="31">
        <f>+E917*(1+C917*F918/365)</f>
        <v>143.23791658185115</v>
      </c>
      <c r="F918" s="32">
        <f t="shared" si="85"/>
        <v>1</v>
      </c>
      <c r="G918" s="20">
        <f t="shared" ca="1" si="87"/>
        <v>0.13886577149961635</v>
      </c>
      <c r="H918" s="20">
        <f t="shared" ca="1" si="81"/>
        <v>0.1404749748839248</v>
      </c>
      <c r="I918" s="20">
        <f t="shared" ca="1" si="80"/>
        <v>0.14235769424953237</v>
      </c>
      <c r="J918" s="20">
        <f t="shared" ca="1" si="83"/>
        <v>0.14473341579585167</v>
      </c>
      <c r="K918" s="36">
        <v>14</v>
      </c>
    </row>
    <row r="919" spans="1:11" x14ac:dyDescent="0.25">
      <c r="A919" s="13" t="s">
        <v>7</v>
      </c>
      <c r="B919" s="29">
        <v>45483</v>
      </c>
      <c r="C919" s="20">
        <v>0.13647200000000001</v>
      </c>
      <c r="D919" s="30">
        <f t="shared" ca="1" si="86"/>
        <v>143.29285715259488</v>
      </c>
      <c r="E919" s="31">
        <f>+E918*(1+C918*F919/365)</f>
        <v>143.29285715259488</v>
      </c>
      <c r="F919" s="32">
        <f t="shared" si="85"/>
        <v>1</v>
      </c>
      <c r="G919" s="20">
        <f t="shared" ca="1" si="87"/>
        <v>0.13886577149960475</v>
      </c>
      <c r="H919" s="20">
        <f t="shared" ca="1" si="81"/>
        <v>0.14047859196370843</v>
      </c>
      <c r="I919" s="20">
        <f t="shared" ca="1" si="80"/>
        <v>0.14235815054041745</v>
      </c>
      <c r="J919" s="20">
        <f t="shared" ca="1" si="83"/>
        <v>0.14473341579585122</v>
      </c>
      <c r="K919" s="36">
        <v>14</v>
      </c>
    </row>
    <row r="920" spans="1:11" x14ac:dyDescent="0.25">
      <c r="A920" s="13" t="s">
        <v>7</v>
      </c>
      <c r="B920" s="29">
        <v>45484</v>
      </c>
      <c r="C920" s="20">
        <v>0.13500000000000001</v>
      </c>
      <c r="D920" s="30">
        <f t="shared" ca="1" si="86"/>
        <v>143.34643376300946</v>
      </c>
      <c r="E920" s="31">
        <f>+E919*(1+C919*F920/365)</f>
        <v>143.34643376300946</v>
      </c>
      <c r="F920" s="32">
        <f t="shared" si="85"/>
        <v>1</v>
      </c>
      <c r="G920" s="20">
        <f t="shared" ca="1" si="87"/>
        <v>0.13836062301287691</v>
      </c>
      <c r="H920" s="20">
        <f t="shared" ca="1" si="81"/>
        <v>0.14035967974244276</v>
      </c>
      <c r="I920" s="20">
        <f t="shared" ca="1" si="80"/>
        <v>0.14231866315168851</v>
      </c>
      <c r="J920" s="20">
        <f t="shared" ca="1" si="83"/>
        <v>0.1447124248896477</v>
      </c>
      <c r="K920" s="36">
        <v>14</v>
      </c>
    </row>
    <row r="921" spans="1:11" x14ac:dyDescent="0.25">
      <c r="A921" s="13" t="s">
        <v>7</v>
      </c>
      <c r="B921" s="29">
        <v>45485</v>
      </c>
      <c r="C921" s="20">
        <v>0.13761599999999999</v>
      </c>
      <c r="D921" s="30">
        <f t="shared" ca="1" si="86"/>
        <v>143.399452307004</v>
      </c>
      <c r="E921" s="31">
        <f>+E920*(1+C920*F921/365)</f>
        <v>143.399452307004</v>
      </c>
      <c r="F921" s="32">
        <f t="shared" si="85"/>
        <v>1</v>
      </c>
      <c r="G921" s="20">
        <f t="shared" ca="1" si="87"/>
        <v>0.13802213998980992</v>
      </c>
      <c r="H921" s="20">
        <f t="shared" ca="1" si="81"/>
        <v>0.14019115498007217</v>
      </c>
      <c r="I921" s="20">
        <f t="shared" ca="1" si="80"/>
        <v>0.14226286939727067</v>
      </c>
      <c r="J921" s="20">
        <f t="shared" ca="1" si="83"/>
        <v>0.14468299552673522</v>
      </c>
      <c r="K921" s="36">
        <v>14</v>
      </c>
    </row>
    <row r="922" spans="1:11" x14ac:dyDescent="0.25">
      <c r="A922" s="23" t="s">
        <v>6</v>
      </c>
      <c r="B922" s="24">
        <v>45486</v>
      </c>
      <c r="C922" s="28">
        <v>0.13761599999999999</v>
      </c>
      <c r="D922" s="25">
        <f t="shared" ca="1" si="86"/>
        <v>143.45351822215108</v>
      </c>
      <c r="E922" s="26">
        <f>+E921*(1+C921*F922/365)</f>
        <v>143.45351822215108</v>
      </c>
      <c r="F922" s="27">
        <f t="shared" si="85"/>
        <v>1</v>
      </c>
      <c r="G922" s="28">
        <f t="shared" ca="1" si="87"/>
        <v>0.13797932881555602</v>
      </c>
      <c r="H922" s="28">
        <f t="shared" ca="1" si="81"/>
        <v>0.14011080347367122</v>
      </c>
      <c r="I922" s="28">
        <f t="shared" ca="1" si="80"/>
        <v>0.14223546182996707</v>
      </c>
      <c r="J922" s="28">
        <f t="shared" ca="1" si="83"/>
        <v>0.144669450008722</v>
      </c>
      <c r="K922" s="36">
        <v>14</v>
      </c>
    </row>
    <row r="923" spans="1:11" x14ac:dyDescent="0.25">
      <c r="A923" s="23" t="s">
        <v>6</v>
      </c>
      <c r="B923" s="24">
        <v>45487</v>
      </c>
      <c r="C923" s="28">
        <v>0.13761599999999999</v>
      </c>
      <c r="D923" s="25">
        <f t="shared" ca="1" si="86"/>
        <v>143.50758413729815</v>
      </c>
      <c r="E923" s="26">
        <f>+E921*(1+C922*F923/365)</f>
        <v>143.50758413729815</v>
      </c>
      <c r="F923" s="27">
        <f t="shared" si="85"/>
        <v>2</v>
      </c>
      <c r="G923" s="28">
        <f t="shared" ca="1" si="87"/>
        <v>0.13793654996922786</v>
      </c>
      <c r="H923" s="28">
        <f t="shared" ca="1" si="81"/>
        <v>0.14002870439209283</v>
      </c>
      <c r="I923" s="28">
        <f t="shared" ca="1" si="80"/>
        <v>0.14220807527153262</v>
      </c>
      <c r="J923" s="28">
        <f t="shared" ca="1" si="83"/>
        <v>0.1446549575128093</v>
      </c>
      <c r="K923" s="36">
        <v>14</v>
      </c>
    </row>
    <row r="924" spans="1:11" x14ac:dyDescent="0.25">
      <c r="A924" s="13" t="s">
        <v>7</v>
      </c>
      <c r="B924" s="29">
        <v>45488</v>
      </c>
      <c r="C924" s="20">
        <v>0.135047</v>
      </c>
      <c r="D924" s="30">
        <f t="shared" ca="1" si="86"/>
        <v>143.5616500524452</v>
      </c>
      <c r="E924" s="31">
        <f>+E921*(1+C923*F924/365)</f>
        <v>143.5616500524452</v>
      </c>
      <c r="F924" s="32">
        <f t="shared" si="85"/>
        <v>3</v>
      </c>
      <c r="G924" s="20">
        <f t="shared" ca="1" si="87"/>
        <v>0.13789380341419252</v>
      </c>
      <c r="H924" s="20">
        <f t="shared" ca="1" si="81"/>
        <v>0.13994485908723764</v>
      </c>
      <c r="I924" s="20">
        <f t="shared" ref="I924:I987" ca="1" si="88">($D924/OFFSET($D924,-90,0)-1)*365/90</f>
        <v>0.14217947597978686</v>
      </c>
      <c r="J924" s="20">
        <f t="shared" ca="1" si="83"/>
        <v>0.14464015676577882</v>
      </c>
      <c r="K924" s="36">
        <v>14</v>
      </c>
    </row>
    <row r="925" spans="1:11" x14ac:dyDescent="0.25">
      <c r="A925" s="13" t="s">
        <v>7</v>
      </c>
      <c r="B925" s="29">
        <v>45489</v>
      </c>
      <c r="C925" s="20">
        <v>0.135769</v>
      </c>
      <c r="D925" s="30">
        <f t="shared" ca="1" si="86"/>
        <v>143.61476668300585</v>
      </c>
      <c r="E925" s="31">
        <f>+E924*(1+C924*F925/365)</f>
        <v>143.61476668300585</v>
      </c>
      <c r="F925" s="32">
        <f t="shared" si="85"/>
        <v>1</v>
      </c>
      <c r="G925" s="20">
        <f t="shared" ca="1" si="87"/>
        <v>0.13718463279624671</v>
      </c>
      <c r="H925" s="20">
        <f t="shared" ca="1" si="81"/>
        <v>0.13977973321511158</v>
      </c>
      <c r="I925" s="20">
        <f t="shared" ca="1" si="88"/>
        <v>0.142122535130767</v>
      </c>
      <c r="J925" s="20">
        <f t="shared" ca="1" si="83"/>
        <v>0.14461068865483578</v>
      </c>
      <c r="K925" s="36">
        <v>14</v>
      </c>
    </row>
    <row r="926" spans="1:11" x14ac:dyDescent="0.25">
      <c r="A926" s="13" t="s">
        <v>7</v>
      </c>
      <c r="B926" s="29">
        <v>45490</v>
      </c>
      <c r="C926" s="20">
        <v>0.135354</v>
      </c>
      <c r="D926" s="30">
        <f t="shared" ca="1" si="86"/>
        <v>143.66818704809569</v>
      </c>
      <c r="E926" s="31">
        <f>+E925*(1+C925*F926/365)</f>
        <v>143.66818704809569</v>
      </c>
      <c r="F926" s="32">
        <f t="shared" si="85"/>
        <v>1</v>
      </c>
      <c r="G926" s="20">
        <f t="shared" ca="1" si="87"/>
        <v>0.13657884636707204</v>
      </c>
      <c r="H926" s="20">
        <f t="shared" ca="1" si="81"/>
        <v>0.13964075111476912</v>
      </c>
      <c r="I926" s="20">
        <f t="shared" ca="1" si="88"/>
        <v>0.14207389522278205</v>
      </c>
      <c r="J926" s="20">
        <f t="shared" ca="1" si="83"/>
        <v>0.1445855164589617</v>
      </c>
      <c r="K926" s="36">
        <v>14</v>
      </c>
    </row>
    <row r="927" spans="1:11" x14ac:dyDescent="0.25">
      <c r="A927" s="13" t="s">
        <v>7</v>
      </c>
      <c r="B927" s="29">
        <v>45491</v>
      </c>
      <c r="C927" s="20">
        <v>0.139375</v>
      </c>
      <c r="D927" s="30">
        <f t="shared" ca="1" si="86"/>
        <v>143.72146393519077</v>
      </c>
      <c r="E927" s="31">
        <f>+E926*(1+C926*F927/365)</f>
        <v>143.72146393519077</v>
      </c>
      <c r="F927" s="32">
        <f t="shared" ref="F927:F958" si="89">IF(A926="Working day",1,(IF(A925="Working day",2,(IF(A924="Working day",3,IF(A923="Working day",4,IF(A922="Working day",5,6)))))))</f>
        <v>1</v>
      </c>
      <c r="G927" s="20">
        <f t="shared" ca="1" si="87"/>
        <v>0.13641877358902876</v>
      </c>
      <c r="H927" s="20">
        <f t="shared" ca="1" si="81"/>
        <v>0.13948959015831119</v>
      </c>
      <c r="I927" s="20">
        <f t="shared" ca="1" si="88"/>
        <v>0.14202048506112183</v>
      </c>
      <c r="J927" s="20">
        <f t="shared" ca="1" si="83"/>
        <v>0.14455787555447275</v>
      </c>
      <c r="K927" s="36">
        <v>14</v>
      </c>
    </row>
    <row r="928" spans="1:11" x14ac:dyDescent="0.25">
      <c r="A928" s="13" t="s">
        <v>7</v>
      </c>
      <c r="B928" s="29">
        <v>45492</v>
      </c>
      <c r="C928" s="20">
        <v>0.13964499999999999</v>
      </c>
      <c r="D928" s="30">
        <f t="shared" ca="1" si="86"/>
        <v>143.77634387775507</v>
      </c>
      <c r="E928" s="31">
        <f>+E927*(1+C927*F928/365)</f>
        <v>143.77634387775507</v>
      </c>
      <c r="F928" s="32">
        <f t="shared" si="89"/>
        <v>1</v>
      </c>
      <c r="G928" s="20">
        <f t="shared" ca="1" si="87"/>
        <v>0.1370451770620911</v>
      </c>
      <c r="H928" s="20">
        <f t="shared" ref="H928:H991" ca="1" si="90">($D928/OFFSET($D928,-30,0)-1)*365/30</f>
        <v>0.13947575408188051</v>
      </c>
      <c r="I928" s="20">
        <f t="shared" ca="1" si="88"/>
        <v>0.14201330018675698</v>
      </c>
      <c r="J928" s="20">
        <f t="shared" ca="1" si="83"/>
        <v>0.14455447657533399</v>
      </c>
      <c r="K928" s="36">
        <v>14</v>
      </c>
    </row>
    <row r="929" spans="1:11" x14ac:dyDescent="0.25">
      <c r="A929" s="23" t="s">
        <v>6</v>
      </c>
      <c r="B929" s="24">
        <v>45493</v>
      </c>
      <c r="C929" s="28">
        <v>0.13964499999999999</v>
      </c>
      <c r="D929" s="25">
        <f t="shared" ca="1" si="86"/>
        <v>143.83135113129151</v>
      </c>
      <c r="E929" s="26">
        <f>+E928*(1+C928*F929/365)</f>
        <v>143.83135113129151</v>
      </c>
      <c r="F929" s="27">
        <f t="shared" si="89"/>
        <v>1</v>
      </c>
      <c r="G929" s="28">
        <f t="shared" ca="1" si="87"/>
        <v>0.13733568649511918</v>
      </c>
      <c r="H929" s="28">
        <f t="shared" ca="1" si="90"/>
        <v>0.13946378968313103</v>
      </c>
      <c r="I929" s="28">
        <f t="shared" ca="1" si="88"/>
        <v>0.14200983625551056</v>
      </c>
      <c r="J929" s="28">
        <f t="shared" ca="1" si="83"/>
        <v>0.14455300301886068</v>
      </c>
      <c r="K929" s="36">
        <v>14</v>
      </c>
    </row>
    <row r="930" spans="1:11" x14ac:dyDescent="0.25">
      <c r="A930" s="23" t="s">
        <v>6</v>
      </c>
      <c r="B930" s="24">
        <v>45494</v>
      </c>
      <c r="C930" s="28">
        <v>0.13964499999999999</v>
      </c>
      <c r="D930" s="25">
        <f t="shared" ca="1" si="86"/>
        <v>143.88635838482799</v>
      </c>
      <c r="E930" s="26">
        <f>+E928*(1+C929*F930/365)</f>
        <v>143.88635838482799</v>
      </c>
      <c r="F930" s="27">
        <f t="shared" si="89"/>
        <v>2</v>
      </c>
      <c r="G930" s="28">
        <f t="shared" ca="1" si="87"/>
        <v>0.13762597703160209</v>
      </c>
      <c r="H930" s="28">
        <f t="shared" ca="1" si="90"/>
        <v>0.13945002537314419</v>
      </c>
      <c r="I930" s="28">
        <f t="shared" ca="1" si="88"/>
        <v>0.14200637497847307</v>
      </c>
      <c r="J930" s="28">
        <f t="shared" ca="1" si="83"/>
        <v>0.14455057328399248</v>
      </c>
      <c r="K930" s="36">
        <v>14</v>
      </c>
    </row>
    <row r="931" spans="1:11" x14ac:dyDescent="0.25">
      <c r="A931" s="13" t="s">
        <v>7</v>
      </c>
      <c r="B931" s="29">
        <v>45495</v>
      </c>
      <c r="C931" s="20">
        <v>0.139849</v>
      </c>
      <c r="D931" s="30">
        <f t="shared" ca="1" si="86"/>
        <v>143.94136563836443</v>
      </c>
      <c r="E931" s="31">
        <f>+E928*(1+C930*F931/365)</f>
        <v>143.94136563836443</v>
      </c>
      <c r="F931" s="32">
        <f t="shared" si="89"/>
        <v>3</v>
      </c>
      <c r="G931" s="20">
        <f t="shared" ca="1" si="87"/>
        <v>0.13791604891884673</v>
      </c>
      <c r="H931" s="20">
        <f t="shared" ca="1" si="90"/>
        <v>0.13943446253389952</v>
      </c>
      <c r="I931" s="20">
        <f t="shared" ca="1" si="88"/>
        <v>0.14200106656289507</v>
      </c>
      <c r="J931" s="20">
        <f t="shared" ca="1" si="83"/>
        <v>0.14454883149638087</v>
      </c>
      <c r="K931" s="36">
        <v>14</v>
      </c>
    </row>
    <row r="932" spans="1:11" x14ac:dyDescent="0.25">
      <c r="A932" s="13" t="s">
        <v>7</v>
      </c>
      <c r="B932" s="29">
        <v>45496</v>
      </c>
      <c r="C932" s="20">
        <v>0.13631499999999999</v>
      </c>
      <c r="D932" s="30">
        <f t="shared" ca="1" si="86"/>
        <v>143.99651647683885</v>
      </c>
      <c r="E932" s="31">
        <f>+E931*(1+C931*F932/365)</f>
        <v>143.99651647683885</v>
      </c>
      <c r="F932" s="32">
        <f t="shared" si="89"/>
        <v>1</v>
      </c>
      <c r="G932" s="20">
        <f t="shared" ca="1" si="87"/>
        <v>0.13860360897347909</v>
      </c>
      <c r="H932" s="20">
        <f t="shared" ca="1" si="90"/>
        <v>0.13943118254802864</v>
      </c>
      <c r="I932" s="20">
        <f t="shared" ca="1" si="88"/>
        <v>0.14199933070527906</v>
      </c>
      <c r="J932" s="20">
        <f t="shared" ca="1" si="83"/>
        <v>0.14454834365386665</v>
      </c>
      <c r="K932" s="36">
        <v>14</v>
      </c>
    </row>
    <row r="933" spans="1:11" x14ac:dyDescent="0.25">
      <c r="A933" s="13" t="s">
        <v>7</v>
      </c>
      <c r="B933" s="29">
        <v>45497</v>
      </c>
      <c r="C933" s="20">
        <v>0.13642699999999999</v>
      </c>
      <c r="D933" s="30">
        <f t="shared" ca="1" si="86"/>
        <v>144.0502942443554</v>
      </c>
      <c r="E933" s="31">
        <f>+E932*(1+C932*F933/365)</f>
        <v>144.0502942443554</v>
      </c>
      <c r="F933" s="32">
        <f t="shared" si="89"/>
        <v>1</v>
      </c>
      <c r="G933" s="20">
        <f t="shared" ca="1" si="87"/>
        <v>0.13868178722932761</v>
      </c>
      <c r="H933" s="20">
        <f t="shared" ca="1" si="90"/>
        <v>0.13931060590508046</v>
      </c>
      <c r="I933" s="20">
        <f t="shared" ca="1" si="88"/>
        <v>0.14195696889951676</v>
      </c>
      <c r="J933" s="20">
        <f t="shared" ca="1" si="83"/>
        <v>0.14455273428786311</v>
      </c>
      <c r="K933" s="36">
        <v>14</v>
      </c>
    </row>
    <row r="934" spans="1:11" x14ac:dyDescent="0.25">
      <c r="A934" s="13" t="s">
        <v>7</v>
      </c>
      <c r="B934" s="29">
        <v>45498</v>
      </c>
      <c r="C934" s="20">
        <v>0.13500000000000001</v>
      </c>
      <c r="D934" s="30">
        <f t="shared" ca="1" si="86"/>
        <v>144.10413629776053</v>
      </c>
      <c r="E934" s="31">
        <f>+E933*(1+C933*F934/365)</f>
        <v>144.10413629776053</v>
      </c>
      <c r="F934" s="32">
        <f t="shared" si="89"/>
        <v>1</v>
      </c>
      <c r="G934" s="20">
        <f t="shared" ca="1" si="87"/>
        <v>0.13883542365663662</v>
      </c>
      <c r="H934" s="20">
        <f t="shared" ca="1" si="90"/>
        <v>0.13919018837538125</v>
      </c>
      <c r="I934" s="20">
        <f t="shared" ca="1" si="88"/>
        <v>0.14191589503127483</v>
      </c>
      <c r="J934" s="20">
        <f t="shared" ca="1" si="83"/>
        <v>0.14454065119123646</v>
      </c>
      <c r="K934" s="36">
        <v>14</v>
      </c>
    </row>
    <row r="935" spans="1:11" x14ac:dyDescent="0.25">
      <c r="A935" s="13" t="s">
        <v>7</v>
      </c>
      <c r="B935" s="29">
        <v>45499</v>
      </c>
      <c r="C935" s="20">
        <v>0.13500000000000001</v>
      </c>
      <c r="D935" s="30">
        <f t="shared" ca="1" si="86"/>
        <v>144.15743508789805</v>
      </c>
      <c r="E935" s="31">
        <f>+E934*(1+C934*F935/365)</f>
        <v>144.15743508789805</v>
      </c>
      <c r="F935" s="32">
        <f t="shared" si="89"/>
        <v>1</v>
      </c>
      <c r="G935" s="20">
        <f t="shared" ca="1" si="87"/>
        <v>0.13820899873333301</v>
      </c>
      <c r="H935" s="20">
        <f t="shared" ca="1" si="90"/>
        <v>0.13899064081922227</v>
      </c>
      <c r="I935" s="20">
        <f t="shared" ca="1" si="88"/>
        <v>0.1418584174685511</v>
      </c>
      <c r="J935" s="20">
        <f t="shared" ca="1" si="83"/>
        <v>0.14452039085912929</v>
      </c>
      <c r="K935" s="36">
        <v>13.5</v>
      </c>
    </row>
    <row r="936" spans="1:11" x14ac:dyDescent="0.25">
      <c r="A936" s="23" t="s">
        <v>6</v>
      </c>
      <c r="B936" s="24">
        <v>45500</v>
      </c>
      <c r="C936" s="28">
        <v>0.13500000000000001</v>
      </c>
      <c r="D936" s="25">
        <f t="shared" ca="1" si="86"/>
        <v>144.2107535912867</v>
      </c>
      <c r="E936" s="26">
        <f>+E935*(1+C935*F936/365)</f>
        <v>144.2107535912867</v>
      </c>
      <c r="F936" s="27">
        <f t="shared" si="89"/>
        <v>1</v>
      </c>
      <c r="G936" s="28">
        <f t="shared" ca="1" si="87"/>
        <v>0.1375439229039824</v>
      </c>
      <c r="H936" s="28">
        <f t="shared" ca="1" si="90"/>
        <v>0.13882213480361558</v>
      </c>
      <c r="I936" s="28">
        <f t="shared" ca="1" si="88"/>
        <v>0.14180155773267791</v>
      </c>
      <c r="J936" s="28">
        <f t="shared" ca="1" si="83"/>
        <v>0.14450044282556235</v>
      </c>
      <c r="K936" s="36">
        <v>13.5</v>
      </c>
    </row>
    <row r="937" spans="1:11" x14ac:dyDescent="0.25">
      <c r="A937" s="23" t="s">
        <v>6</v>
      </c>
      <c r="B937" s="24">
        <v>45501</v>
      </c>
      <c r="C937" s="28">
        <v>0.13500000000000001</v>
      </c>
      <c r="D937" s="25">
        <f t="shared" ca="1" si="86"/>
        <v>144.26407209467541</v>
      </c>
      <c r="E937" s="26">
        <f>+E935*(1+C936*F937/365)</f>
        <v>144.26407209467541</v>
      </c>
      <c r="F937" s="27">
        <f t="shared" si="89"/>
        <v>2</v>
      </c>
      <c r="G937" s="28">
        <f t="shared" ca="1" si="87"/>
        <v>0.13687935558698167</v>
      </c>
      <c r="H937" s="28">
        <f t="shared" ca="1" si="90"/>
        <v>0.13865194898876712</v>
      </c>
      <c r="I937" s="28">
        <f t="shared" ca="1" si="88"/>
        <v>0.14174474156509972</v>
      </c>
      <c r="J937" s="28">
        <f t="shared" ca="1" si="83"/>
        <v>0.1444706261232403</v>
      </c>
      <c r="K937" s="36">
        <v>13.5</v>
      </c>
    </row>
    <row r="938" spans="1:11" x14ac:dyDescent="0.25">
      <c r="A938" s="13" t="s">
        <v>7</v>
      </c>
      <c r="B938" s="29">
        <v>45502</v>
      </c>
      <c r="C938" s="20">
        <v>0.13500000000000001</v>
      </c>
      <c r="D938" s="30">
        <f t="shared" ca="1" si="86"/>
        <v>144.31739059806409</v>
      </c>
      <c r="E938" s="31">
        <f>+E935*(1+C937*F938/365)</f>
        <v>144.31739059806409</v>
      </c>
      <c r="F938" s="32">
        <f t="shared" si="89"/>
        <v>3</v>
      </c>
      <c r="G938" s="20">
        <f t="shared" ca="1" si="87"/>
        <v>0.13621529619934172</v>
      </c>
      <c r="H938" s="20">
        <f t="shared" ca="1" si="90"/>
        <v>0.13848008468755915</v>
      </c>
      <c r="I938" s="20">
        <f t="shared" ca="1" si="88"/>
        <v>0.14168611926485375</v>
      </c>
      <c r="J938" s="20">
        <f t="shared" ca="1" si="83"/>
        <v>0.14444028705071082</v>
      </c>
      <c r="K938" s="36">
        <v>13.5</v>
      </c>
    </row>
    <row r="939" spans="1:11" x14ac:dyDescent="0.25">
      <c r="A939" s="13" t="s">
        <v>7</v>
      </c>
      <c r="B939" s="29">
        <v>45503</v>
      </c>
      <c r="C939" s="20">
        <v>0.13500000000000001</v>
      </c>
      <c r="D939" s="30">
        <f t="shared" ca="1" si="86"/>
        <v>144.37076826307981</v>
      </c>
      <c r="E939" s="31">
        <f>+E938*(1+C938*F939/365)</f>
        <v>144.37076826307981</v>
      </c>
      <c r="F939" s="32">
        <f t="shared" si="89"/>
        <v>1</v>
      </c>
      <c r="G939" s="20">
        <f t="shared" ca="1" si="87"/>
        <v>0.13552103830623155</v>
      </c>
      <c r="H939" s="20">
        <f t="shared" ca="1" si="90"/>
        <v>0.13831339457821099</v>
      </c>
      <c r="I939" s="20">
        <f t="shared" ca="1" si="88"/>
        <v>0.1415711720062347</v>
      </c>
      <c r="J939" s="20">
        <f t="shared" ca="1" si="83"/>
        <v>0.14438019108674799</v>
      </c>
      <c r="K939" s="36">
        <v>13.5</v>
      </c>
    </row>
    <row r="940" spans="1:11" x14ac:dyDescent="0.25">
      <c r="A940" s="13" t="s">
        <v>7</v>
      </c>
      <c r="B940" s="29">
        <v>45504</v>
      </c>
      <c r="C940" s="20">
        <v>0.13528499999999999</v>
      </c>
      <c r="D940" s="30">
        <f t="shared" ca="1" si="86"/>
        <v>144.42416567051956</v>
      </c>
      <c r="E940" s="31">
        <f>+E939*(1+C939*F940/365)</f>
        <v>144.42416567051956</v>
      </c>
      <c r="F940" s="32">
        <f t="shared" si="89"/>
        <v>1</v>
      </c>
      <c r="G940" s="20">
        <f t="shared" ca="1" si="87"/>
        <v>0.13533276323062479</v>
      </c>
      <c r="H940" s="20">
        <f t="shared" ca="1" si="90"/>
        <v>0.13814851423136207</v>
      </c>
      <c r="I940" s="20">
        <f t="shared" ca="1" si="88"/>
        <v>0.14151369916393272</v>
      </c>
      <c r="J940" s="20">
        <f t="shared" ca="1" si="83"/>
        <v>0.14435656819250919</v>
      </c>
      <c r="K940" s="36">
        <v>13.5</v>
      </c>
    </row>
    <row r="941" spans="1:11" x14ac:dyDescent="0.25">
      <c r="A941" s="13" t="s">
        <v>7</v>
      </c>
      <c r="B941" s="29">
        <v>45505</v>
      </c>
      <c r="C941" s="20">
        <v>0.13500000000000001</v>
      </c>
      <c r="D941" s="30">
        <f t="shared" ca="1" si="86"/>
        <v>144.47769559723938</v>
      </c>
      <c r="E941" s="31">
        <f>+E940*(1+C940*F941/365)</f>
        <v>144.47769559723938</v>
      </c>
      <c r="F941" s="32">
        <f t="shared" si="89"/>
        <v>1</v>
      </c>
      <c r="G941" s="20">
        <f t="shared" ca="1" si="87"/>
        <v>0.13516925806253918</v>
      </c>
      <c r="H941" s="20">
        <f t="shared" ca="1" si="90"/>
        <v>0.13798962393290545</v>
      </c>
      <c r="I941" s="20">
        <f t="shared" ca="1" si="88"/>
        <v>0.14145950301578084</v>
      </c>
      <c r="J941" s="20">
        <f t="shared" ca="1" si="83"/>
        <v>0.14435268360164788</v>
      </c>
      <c r="K941" s="36">
        <v>13.5</v>
      </c>
    </row>
    <row r="942" spans="1:11" x14ac:dyDescent="0.25">
      <c r="A942" s="13" t="s">
        <v>7</v>
      </c>
      <c r="B942" s="29">
        <v>45506</v>
      </c>
      <c r="C942" s="20">
        <v>0.13111400000000001</v>
      </c>
      <c r="D942" s="30">
        <f t="shared" ca="1" si="86"/>
        <v>144.5311325531452</v>
      </c>
      <c r="E942" s="31">
        <f>+E941*(1+C941*F942/365)</f>
        <v>144.5311325531452</v>
      </c>
      <c r="F942" s="32">
        <f t="shared" si="89"/>
        <v>1</v>
      </c>
      <c r="G942" s="20">
        <f t="shared" ca="1" si="87"/>
        <v>0.13516925806253918</v>
      </c>
      <c r="H942" s="20">
        <f t="shared" ca="1" si="90"/>
        <v>0.13782113162460488</v>
      </c>
      <c r="I942" s="20">
        <f t="shared" ca="1" si="88"/>
        <v>0.14140203170260515</v>
      </c>
      <c r="J942" s="20">
        <f t="shared" ca="1" si="83"/>
        <v>0.14434740466512994</v>
      </c>
      <c r="K942" s="36">
        <v>13.5</v>
      </c>
    </row>
    <row r="943" spans="1:11" x14ac:dyDescent="0.25">
      <c r="A943" s="23" t="s">
        <v>6</v>
      </c>
      <c r="B943" s="24">
        <v>45507</v>
      </c>
      <c r="C943" s="28">
        <v>0.13111400000000001</v>
      </c>
      <c r="D943" s="25">
        <f t="shared" ca="1" si="86"/>
        <v>144.58305051181253</v>
      </c>
      <c r="E943" s="26">
        <f>+E942*(1+C942*F943/365)</f>
        <v>144.58305051181253</v>
      </c>
      <c r="F943" s="27">
        <f t="shared" si="89"/>
        <v>1</v>
      </c>
      <c r="G943" s="28">
        <f t="shared" ca="1" si="87"/>
        <v>0.13461288189868248</v>
      </c>
      <c r="H943" s="28">
        <f t="shared" ca="1" si="90"/>
        <v>0.13752169119469923</v>
      </c>
      <c r="I943" s="28">
        <f t="shared" ca="1" si="88"/>
        <v>0.14130051204957675</v>
      </c>
      <c r="J943" s="28">
        <f t="shared" ca="1" si="83"/>
        <v>0.14431930948849764</v>
      </c>
      <c r="K943" s="36">
        <v>13.5</v>
      </c>
    </row>
    <row r="944" spans="1:11" x14ac:dyDescent="0.25">
      <c r="A944" s="23" t="s">
        <v>6</v>
      </c>
      <c r="B944" s="24">
        <v>45508</v>
      </c>
      <c r="C944" s="28">
        <v>0.13111400000000001</v>
      </c>
      <c r="D944" s="25">
        <f t="shared" ca="1" si="86"/>
        <v>144.63496847047983</v>
      </c>
      <c r="E944" s="26">
        <f>+E942*(1+C943*F944/365)</f>
        <v>144.63496847047983</v>
      </c>
      <c r="F944" s="27">
        <f t="shared" si="89"/>
        <v>2</v>
      </c>
      <c r="G944" s="28">
        <f t="shared" ca="1" si="87"/>
        <v>0.13405691699650144</v>
      </c>
      <c r="H944" s="28">
        <f t="shared" ca="1" si="90"/>
        <v>0.13730949577678572</v>
      </c>
      <c r="I944" s="28">
        <f t="shared" ca="1" si="88"/>
        <v>0.14119907018512703</v>
      </c>
      <c r="J944" s="28">
        <f t="shared" ca="1" si="83"/>
        <v>0.14426619928459911</v>
      </c>
      <c r="K944" s="36">
        <v>13.5</v>
      </c>
    </row>
    <row r="945" spans="1:11" x14ac:dyDescent="0.25">
      <c r="A945" s="13" t="s">
        <v>7</v>
      </c>
      <c r="B945" s="29">
        <v>45509</v>
      </c>
      <c r="C945" s="20">
        <v>0.133268</v>
      </c>
      <c r="D945" s="30">
        <f t="shared" ca="1" si="86"/>
        <v>144.68688642914719</v>
      </c>
      <c r="E945" s="31">
        <f>+E942*(1+C944*F945/365)</f>
        <v>144.68688642914719</v>
      </c>
      <c r="F945" s="32">
        <f t="shared" si="89"/>
        <v>3</v>
      </c>
      <c r="G945" s="20">
        <f t="shared" ca="1" si="87"/>
        <v>0.13350136290023812</v>
      </c>
      <c r="H945" s="20">
        <f t="shared" ca="1" si="90"/>
        <v>0.13707715205361939</v>
      </c>
      <c r="I945" s="20">
        <f t="shared" ca="1" si="88"/>
        <v>0.14109585662909754</v>
      </c>
      <c r="J945" s="20">
        <f t="shared" ca="1" si="83"/>
        <v>0.14421708740754399</v>
      </c>
      <c r="K945" s="36">
        <v>13.5</v>
      </c>
    </row>
    <row r="946" spans="1:11" x14ac:dyDescent="0.25">
      <c r="A946" s="13" t="s">
        <v>7</v>
      </c>
      <c r="B946" s="29">
        <v>45510</v>
      </c>
      <c r="C946" s="20">
        <v>0.13500000000000001</v>
      </c>
      <c r="D946" s="30">
        <f t="shared" ca="1" si="86"/>
        <v>144.73971418799826</v>
      </c>
      <c r="E946" s="31">
        <f>+E945*(1+C945*F946/365)</f>
        <v>144.73971418799826</v>
      </c>
      <c r="F946" s="32">
        <f t="shared" si="89"/>
        <v>1</v>
      </c>
      <c r="G946" s="20">
        <f t="shared" ca="1" si="87"/>
        <v>0.13325339255247323</v>
      </c>
      <c r="H946" s="20">
        <f t="shared" ca="1" si="90"/>
        <v>0.13692232127883663</v>
      </c>
      <c r="I946" s="20">
        <f t="shared" ca="1" si="88"/>
        <v>0.14103557419962776</v>
      </c>
      <c r="J946" s="20">
        <f t="shared" ca="1" si="83"/>
        <v>0.14417704285084673</v>
      </c>
      <c r="K946" s="36">
        <v>13.5</v>
      </c>
    </row>
    <row r="947" spans="1:11" x14ac:dyDescent="0.25">
      <c r="A947" s="13" t="s">
        <v>7</v>
      </c>
      <c r="B947" s="29">
        <v>45511</v>
      </c>
      <c r="C947" s="20">
        <v>0.1</v>
      </c>
      <c r="D947" s="30">
        <f t="shared" ca="1" si="86"/>
        <v>144.79324805488972</v>
      </c>
      <c r="E947" s="31">
        <f>+E946*(1+C946*F947/365)</f>
        <v>144.79324805488972</v>
      </c>
      <c r="F947" s="32">
        <f t="shared" si="89"/>
        <v>1</v>
      </c>
      <c r="G947" s="20">
        <f t="shared" ca="1" si="87"/>
        <v>0.13325339255248481</v>
      </c>
      <c r="H947" s="20">
        <f t="shared" ca="1" si="90"/>
        <v>0.13682760738629324</v>
      </c>
      <c r="I947" s="20">
        <f t="shared" ca="1" si="88"/>
        <v>0.14097810869146937</v>
      </c>
      <c r="J947" s="20">
        <f t="shared" ca="1" si="83"/>
        <v>0.14414730145274401</v>
      </c>
      <c r="K947" s="36">
        <v>13.5</v>
      </c>
    </row>
    <row r="948" spans="1:11" x14ac:dyDescent="0.25">
      <c r="A948" s="13" t="s">
        <v>7</v>
      </c>
      <c r="B948" s="29">
        <v>45512</v>
      </c>
      <c r="C948" s="20">
        <v>0.124987</v>
      </c>
      <c r="D948" s="30">
        <f t="shared" ca="1" si="86"/>
        <v>144.83291743791844</v>
      </c>
      <c r="E948" s="31">
        <f>+E947*(1+C947*F948/365)</f>
        <v>144.83291743791844</v>
      </c>
      <c r="F948" s="32">
        <f t="shared" si="89"/>
        <v>1</v>
      </c>
      <c r="G948" s="20">
        <f t="shared" ca="1" si="87"/>
        <v>0.12820166888726067</v>
      </c>
      <c r="H948" s="20">
        <f t="shared" ca="1" si="90"/>
        <v>0.13547979621533782</v>
      </c>
      <c r="I948" s="20">
        <f t="shared" ca="1" si="88"/>
        <v>0.14051900777262738</v>
      </c>
      <c r="J948" s="20">
        <f t="shared" ca="1" si="83"/>
        <v>0.14390937352600566</v>
      </c>
      <c r="K948" s="36">
        <v>13.5</v>
      </c>
    </row>
    <row r="949" spans="1:11" x14ac:dyDescent="0.25">
      <c r="A949" s="13" t="s">
        <v>7</v>
      </c>
      <c r="B949" s="29">
        <v>45513</v>
      </c>
      <c r="C949" s="20">
        <v>0.13395199999999999</v>
      </c>
      <c r="D949" s="30">
        <f t="shared" ca="1" si="86"/>
        <v>144.88251259367684</v>
      </c>
      <c r="E949" s="31">
        <f>+E948*(1+C948*F949/365)</f>
        <v>144.88251259367684</v>
      </c>
      <c r="F949" s="32">
        <f t="shared" si="89"/>
        <v>1</v>
      </c>
      <c r="G949" s="20">
        <f t="shared" ca="1" si="87"/>
        <v>0.12676825354257101</v>
      </c>
      <c r="H949" s="20">
        <f t="shared" ca="1" si="90"/>
        <v>0.13497398440384861</v>
      </c>
      <c r="I949" s="20">
        <f t="shared" ca="1" si="88"/>
        <v>0.14034648307684155</v>
      </c>
      <c r="J949" s="20">
        <f t="shared" ca="1" si="83"/>
        <v>0.14382040224905551</v>
      </c>
      <c r="K949" s="36">
        <v>13.5</v>
      </c>
    </row>
    <row r="950" spans="1:11" x14ac:dyDescent="0.25">
      <c r="A950" s="23" t="s">
        <v>6</v>
      </c>
      <c r="B950" s="24">
        <v>45514</v>
      </c>
      <c r="C950" s="28">
        <v>0.13395199999999999</v>
      </c>
      <c r="D950" s="25">
        <f t="shared" ca="1" si="86"/>
        <v>144.93568328498355</v>
      </c>
      <c r="E950" s="26">
        <f>+E949*(1+C949*F950/365)</f>
        <v>144.93568328498355</v>
      </c>
      <c r="F950" s="27">
        <f t="shared" si="89"/>
        <v>1</v>
      </c>
      <c r="G950" s="28">
        <f t="shared" ca="1" si="87"/>
        <v>0.12717452184233655</v>
      </c>
      <c r="H950" s="28">
        <f t="shared" ca="1" si="90"/>
        <v>0.13488908427247978</v>
      </c>
      <c r="I950" s="28">
        <f t="shared" ca="1" si="88"/>
        <v>0.14027760102769929</v>
      </c>
      <c r="J950" s="28">
        <f t="shared" ref="J950:J1013" ca="1" si="91">($D950/OFFSET($D950,-180,0)-1)*365/180</f>
        <v>0.14378507118517936</v>
      </c>
      <c r="K950" s="36">
        <v>13.5</v>
      </c>
    </row>
    <row r="951" spans="1:11" x14ac:dyDescent="0.25">
      <c r="A951" s="23" t="s">
        <v>6</v>
      </c>
      <c r="B951" s="24">
        <v>45515</v>
      </c>
      <c r="C951" s="28">
        <v>0.13395199999999999</v>
      </c>
      <c r="D951" s="25">
        <f t="shared" ca="1" si="86"/>
        <v>144.98885397629024</v>
      </c>
      <c r="E951" s="26">
        <f>+E949*(1+C950*F951/365)</f>
        <v>144.98885397629024</v>
      </c>
      <c r="F951" s="27">
        <f t="shared" si="89"/>
        <v>2</v>
      </c>
      <c r="G951" s="28">
        <f t="shared" ca="1" si="87"/>
        <v>0.12758049847514338</v>
      </c>
      <c r="H951" s="28">
        <f t="shared" ca="1" si="90"/>
        <v>0.13485212111026168</v>
      </c>
      <c r="I951" s="28">
        <f t="shared" ca="1" si="88"/>
        <v>0.14020877175884605</v>
      </c>
      <c r="J951" s="28">
        <f t="shared" ca="1" si="91"/>
        <v>0.14374881022932531</v>
      </c>
      <c r="K951" s="36">
        <v>13.5</v>
      </c>
    </row>
    <row r="952" spans="1:11" x14ac:dyDescent="0.25">
      <c r="A952" s="13" t="s">
        <v>7</v>
      </c>
      <c r="B952" s="29">
        <v>45516</v>
      </c>
      <c r="C952" s="20">
        <v>0.13500000000000001</v>
      </c>
      <c r="D952" s="30">
        <f t="shared" ca="1" si="86"/>
        <v>145.04202466759696</v>
      </c>
      <c r="E952" s="31">
        <f>+E949*(1+C951*F952/365)</f>
        <v>145.04202466759696</v>
      </c>
      <c r="F952" s="32">
        <f t="shared" si="89"/>
        <v>3</v>
      </c>
      <c r="G952" s="20">
        <f t="shared" ca="1" si="87"/>
        <v>0.12798618375495324</v>
      </c>
      <c r="H952" s="20">
        <f t="shared" ca="1" si="90"/>
        <v>0.13472537069228413</v>
      </c>
      <c r="I952" s="20">
        <f t="shared" ca="1" si="88"/>
        <v>0.14013814624090279</v>
      </c>
      <c r="J952" s="20">
        <f t="shared" ca="1" si="91"/>
        <v>0.1437122578450539</v>
      </c>
      <c r="K952" s="36">
        <v>13.5</v>
      </c>
    </row>
    <row r="953" spans="1:11" x14ac:dyDescent="0.25">
      <c r="A953" s="13" t="s">
        <v>7</v>
      </c>
      <c r="B953" s="29">
        <v>45517</v>
      </c>
      <c r="C953" s="20">
        <v>0.133488</v>
      </c>
      <c r="D953" s="30">
        <f t="shared" ca="1" si="86"/>
        <v>145.09567034795347</v>
      </c>
      <c r="E953" s="31">
        <f>+E952*(1+C952*F953/365)</f>
        <v>145.09567034795347</v>
      </c>
      <c r="F953" s="32">
        <f t="shared" si="89"/>
        <v>1</v>
      </c>
      <c r="G953" s="20">
        <f t="shared" ca="1" si="87"/>
        <v>0.12823412911785173</v>
      </c>
      <c r="H953" s="20">
        <f t="shared" ca="1" si="90"/>
        <v>0.13463898566146437</v>
      </c>
      <c r="I953" s="20">
        <f t="shared" ca="1" si="88"/>
        <v>0.14008069302156415</v>
      </c>
      <c r="J953" s="20">
        <f t="shared" ca="1" si="91"/>
        <v>0.14368252281142782</v>
      </c>
      <c r="K953" s="36">
        <v>13.5</v>
      </c>
    </row>
    <row r="954" spans="1:11" x14ac:dyDescent="0.25">
      <c r="A954" s="13" t="s">
        <v>7</v>
      </c>
      <c r="B954" s="29">
        <v>45518</v>
      </c>
      <c r="C954" s="20">
        <v>0.13256599999999999</v>
      </c>
      <c r="D954" s="30">
        <f t="shared" ca="1" si="86"/>
        <v>145.14873481601762</v>
      </c>
      <c r="E954" s="31">
        <f>+E953*(1+C953*F954/365)</f>
        <v>145.14873481601762</v>
      </c>
      <c r="F954" s="32">
        <f t="shared" si="89"/>
        <v>1</v>
      </c>
      <c r="G954" s="20">
        <f t="shared" ca="1" si="87"/>
        <v>0.12801767796963706</v>
      </c>
      <c r="H954" s="20">
        <f t="shared" ca="1" si="90"/>
        <v>0.13450340869638217</v>
      </c>
      <c r="I954" s="20">
        <f t="shared" ca="1" si="88"/>
        <v>0.14000586697333497</v>
      </c>
      <c r="J954" s="20">
        <f t="shared" ca="1" si="91"/>
        <v>0.14364379643393582</v>
      </c>
      <c r="K954" s="36">
        <v>13.5</v>
      </c>
    </row>
    <row r="955" spans="1:11" x14ac:dyDescent="0.25">
      <c r="A955" s="13" t="s">
        <v>7</v>
      </c>
      <c r="B955" s="29">
        <v>45519</v>
      </c>
      <c r="C955" s="20">
        <v>0.13453499999999999</v>
      </c>
      <c r="D955" s="30">
        <f t="shared" ca="1" si="86"/>
        <v>145.20145204116727</v>
      </c>
      <c r="E955" s="31">
        <f>+E954*(1+C954*F955/365)</f>
        <v>145.20145204116727</v>
      </c>
      <c r="F955" s="32">
        <f t="shared" si="89"/>
        <v>1</v>
      </c>
      <c r="G955" s="20">
        <f t="shared" ca="1" si="87"/>
        <v>0.1326801082885089</v>
      </c>
      <c r="H955" s="20">
        <f t="shared" ca="1" si="90"/>
        <v>0.13441982536685149</v>
      </c>
      <c r="I955" s="20">
        <f t="shared" ca="1" si="88"/>
        <v>0.1399204482199381</v>
      </c>
      <c r="J955" s="20">
        <f t="shared" ca="1" si="91"/>
        <v>0.14359958777976828</v>
      </c>
      <c r="K955" s="36">
        <v>13.5</v>
      </c>
    </row>
    <row r="956" spans="1:11" x14ac:dyDescent="0.25">
      <c r="A956" s="13" t="s">
        <v>7</v>
      </c>
      <c r="B956" s="29">
        <v>45520</v>
      </c>
      <c r="C956" s="20">
        <v>0.13392000000000001</v>
      </c>
      <c r="D956" s="30">
        <f t="shared" ca="1" si="86"/>
        <v>145.25497170514086</v>
      </c>
      <c r="E956" s="31">
        <f>+E955*(1+C955*F956/365)</f>
        <v>145.25497170514086</v>
      </c>
      <c r="F956" s="32">
        <f t="shared" si="89"/>
        <v>1</v>
      </c>
      <c r="G956" s="20">
        <f t="shared" ca="1" si="87"/>
        <v>0.13404711095183089</v>
      </c>
      <c r="H956" s="20">
        <f t="shared" ca="1" si="90"/>
        <v>0.13437825304767342</v>
      </c>
      <c r="I956" s="20">
        <f t="shared" ca="1" si="88"/>
        <v>0.13985765510945827</v>
      </c>
      <c r="J956" s="20">
        <f t="shared" ca="1" si="91"/>
        <v>0.14356740827671166</v>
      </c>
      <c r="K956" s="36">
        <v>13.5</v>
      </c>
    </row>
    <row r="957" spans="1:11" x14ac:dyDescent="0.25">
      <c r="A957" s="23" t="s">
        <v>6</v>
      </c>
      <c r="B957" s="24">
        <v>45521</v>
      </c>
      <c r="C957" s="28">
        <v>0.13392000000000001</v>
      </c>
      <c r="D957" s="25">
        <f t="shared" ca="1" si="86"/>
        <v>145.30826635119772</v>
      </c>
      <c r="E957" s="26">
        <f>+E956*(1+C956*F957/365)</f>
        <v>145.30826635119772</v>
      </c>
      <c r="F957" s="27">
        <f t="shared" si="89"/>
        <v>1</v>
      </c>
      <c r="G957" s="28">
        <f t="shared" ca="1" si="87"/>
        <v>0.13404252945254952</v>
      </c>
      <c r="H957" s="28">
        <f t="shared" ca="1" si="90"/>
        <v>0.13432994302175738</v>
      </c>
      <c r="I957" s="28">
        <f t="shared" ca="1" si="88"/>
        <v>0.1397884134090864</v>
      </c>
      <c r="J957" s="28">
        <f t="shared" ca="1" si="91"/>
        <v>0.14353189103737338</v>
      </c>
      <c r="K957" s="36">
        <v>13.5</v>
      </c>
    </row>
    <row r="958" spans="1:11" x14ac:dyDescent="0.25">
      <c r="A958" s="23" t="s">
        <v>6</v>
      </c>
      <c r="B958" s="24">
        <v>45522</v>
      </c>
      <c r="C958" s="28">
        <v>0.13392000000000001</v>
      </c>
      <c r="D958" s="25">
        <f t="shared" ca="1" si="86"/>
        <v>145.36156099725457</v>
      </c>
      <c r="E958" s="26">
        <f>+E956*(1+C957*F958/365)</f>
        <v>145.36156099725457</v>
      </c>
      <c r="F958" s="27">
        <f t="shared" si="89"/>
        <v>2</v>
      </c>
      <c r="G958" s="28">
        <f t="shared" ca="1" si="87"/>
        <v>0.13403795131356272</v>
      </c>
      <c r="H958" s="28">
        <f t="shared" ca="1" si="90"/>
        <v>0.13414451756849927</v>
      </c>
      <c r="I958" s="28">
        <f t="shared" ca="1" si="88"/>
        <v>0.13971922476458434</v>
      </c>
      <c r="J958" s="28">
        <f t="shared" ca="1" si="91"/>
        <v>0.14349544416031196</v>
      </c>
      <c r="K958" s="36">
        <v>13.5</v>
      </c>
    </row>
    <row r="959" spans="1:11" x14ac:dyDescent="0.25">
      <c r="A959" s="13" t="s">
        <v>7</v>
      </c>
      <c r="B959" s="29">
        <v>45523</v>
      </c>
      <c r="C959" s="20">
        <v>0.13466</v>
      </c>
      <c r="D959" s="30">
        <f t="shared" ca="1" si="86"/>
        <v>145.41485564331143</v>
      </c>
      <c r="E959" s="31">
        <f>+E956*(1+C958*F959/365)</f>
        <v>145.41485564331143</v>
      </c>
      <c r="F959" s="32">
        <f t="shared" ref="F959:F990" si="92">IF(A958="Working day",1,(IF(A957="Working day",2,(IF(A956="Working day",3,IF(A955="Working day",4,IF(A954="Working day",5,6)))))))</f>
        <v>3</v>
      </c>
      <c r="G959" s="20">
        <f t="shared" ca="1" si="87"/>
        <v>0.13403337653114236</v>
      </c>
      <c r="H959" s="20">
        <f t="shared" ca="1" si="90"/>
        <v>0.13394834583263129</v>
      </c>
      <c r="I959" s="20">
        <f t="shared" ca="1" si="88"/>
        <v>0.1396482403621471</v>
      </c>
      <c r="J959" s="20">
        <f t="shared" ca="1" si="91"/>
        <v>0.14345870603462135</v>
      </c>
      <c r="K959" s="36">
        <v>13.5</v>
      </c>
    </row>
    <row r="960" spans="1:11" x14ac:dyDescent="0.25">
      <c r="A960" s="13" t="s">
        <v>7</v>
      </c>
      <c r="B960" s="29">
        <v>45524</v>
      </c>
      <c r="C960" s="20">
        <v>0.13496</v>
      </c>
      <c r="D960" s="30">
        <f t="shared" ca="1" si="86"/>
        <v>145.46850376512219</v>
      </c>
      <c r="E960" s="31">
        <f>+E959*(1+C959*F960/365)</f>
        <v>145.46850376512219</v>
      </c>
      <c r="F960" s="32">
        <f t="shared" si="92"/>
        <v>1</v>
      </c>
      <c r="G960" s="20">
        <f t="shared" ca="1" si="87"/>
        <v>0.13398469825385745</v>
      </c>
      <c r="H960" s="20">
        <f t="shared" ca="1" si="90"/>
        <v>0.13378221310433697</v>
      </c>
      <c r="I960" s="20">
        <f t="shared" ca="1" si="88"/>
        <v>0.13957441032596141</v>
      </c>
      <c r="J960" s="20">
        <f t="shared" ca="1" si="91"/>
        <v>0.14342695272678468</v>
      </c>
      <c r="K960" s="36">
        <v>13.5</v>
      </c>
    </row>
    <row r="961" spans="1:11" x14ac:dyDescent="0.25">
      <c r="A961" s="13" t="s">
        <v>7</v>
      </c>
      <c r="B961" s="29">
        <v>45525</v>
      </c>
      <c r="C961" s="20">
        <v>0.13089300000000001</v>
      </c>
      <c r="D961" s="30">
        <f t="shared" ca="1" si="86"/>
        <v>145.52229124256917</v>
      </c>
      <c r="E961" s="31">
        <f>+E960*(1+C960*F961/365)</f>
        <v>145.52229124256917</v>
      </c>
      <c r="F961" s="32">
        <f t="shared" si="92"/>
        <v>1</v>
      </c>
      <c r="G961" s="20">
        <f t="shared" ca="1" si="87"/>
        <v>0.13419544723667448</v>
      </c>
      <c r="H961" s="20">
        <f t="shared" ca="1" si="90"/>
        <v>0.13362798640859172</v>
      </c>
      <c r="I961" s="20">
        <f t="shared" ca="1" si="88"/>
        <v>0.13951650526207354</v>
      </c>
      <c r="J961" s="20">
        <f t="shared" ca="1" si="91"/>
        <v>0.14339698375093485</v>
      </c>
      <c r="K961" s="36">
        <v>13.5</v>
      </c>
    </row>
    <row r="962" spans="1:11" x14ac:dyDescent="0.25">
      <c r="A962" s="13" t="s">
        <v>7</v>
      </c>
      <c r="B962" s="29">
        <v>45526</v>
      </c>
      <c r="C962" s="20">
        <v>0.133794</v>
      </c>
      <c r="D962" s="30">
        <f t="shared" ca="1" si="86"/>
        <v>145.57447713097361</v>
      </c>
      <c r="E962" s="31">
        <f>+E961*(1+C961*F962/365)</f>
        <v>145.57447713097361</v>
      </c>
      <c r="F962" s="32">
        <f t="shared" si="92"/>
        <v>1</v>
      </c>
      <c r="G962" s="20">
        <f t="shared" ca="1" si="87"/>
        <v>0.13395591913886809</v>
      </c>
      <c r="H962" s="20">
        <f t="shared" ca="1" si="90"/>
        <v>0.13332628984160863</v>
      </c>
      <c r="I962" s="20">
        <f t="shared" ca="1" si="88"/>
        <v>0.13941187547279335</v>
      </c>
      <c r="J962" s="20">
        <f t="shared" ca="1" si="91"/>
        <v>0.14334283222397765</v>
      </c>
      <c r="K962" s="36">
        <v>13.5</v>
      </c>
    </row>
    <row r="963" spans="1:11" x14ac:dyDescent="0.25">
      <c r="A963" s="13" t="s">
        <v>7</v>
      </c>
      <c r="B963" s="29">
        <v>45527</v>
      </c>
      <c r="C963" s="20">
        <v>0.13</v>
      </c>
      <c r="D963" s="30">
        <f t="shared" ref="D963:D1026" ca="1" si="93">+IF(F963=1,D962*(1+C962*F963/365),OFFSET(D962,-F963+1,0)*(1+C962*F963/365))</f>
        <v>145.62783875177706</v>
      </c>
      <c r="E963" s="31">
        <f>+E962*(1+C962*F963/365)</f>
        <v>145.62783875177706</v>
      </c>
      <c r="F963" s="32">
        <f t="shared" si="92"/>
        <v>1</v>
      </c>
      <c r="G963" s="20">
        <f t="shared" ca="1" si="87"/>
        <v>0.13384982915075266</v>
      </c>
      <c r="H963" s="20">
        <f t="shared" ca="1" si="90"/>
        <v>0.13324136735932079</v>
      </c>
      <c r="I963" s="20">
        <f t="shared" ca="1" si="88"/>
        <v>0.13934057688080942</v>
      </c>
      <c r="J963" s="20">
        <f t="shared" ca="1" si="91"/>
        <v>0.14330625054306784</v>
      </c>
      <c r="K963" s="36">
        <v>13.5</v>
      </c>
    </row>
    <row r="964" spans="1:11" x14ac:dyDescent="0.25">
      <c r="A964" s="23" t="s">
        <v>6</v>
      </c>
      <c r="B964" s="24">
        <v>45528</v>
      </c>
      <c r="C964" s="28">
        <v>0.13</v>
      </c>
      <c r="D964" s="25">
        <f t="shared" ca="1" si="93"/>
        <v>145.6797062011955</v>
      </c>
      <c r="E964" s="26">
        <f>+E963*(1+C963*F964/365)</f>
        <v>145.6797062011955</v>
      </c>
      <c r="F964" s="27">
        <f t="shared" si="92"/>
        <v>1</v>
      </c>
      <c r="G964" s="28">
        <f t="shared" ca="1" si="87"/>
        <v>0.13328859755843334</v>
      </c>
      <c r="H964" s="28">
        <f t="shared" ca="1" si="90"/>
        <v>0.13302486880401387</v>
      </c>
      <c r="I964" s="28">
        <f t="shared" ca="1" si="88"/>
        <v>0.13922630894618071</v>
      </c>
      <c r="J964" s="28">
        <f t="shared" ca="1" si="91"/>
        <v>0.14324742966107423</v>
      </c>
      <c r="K964" s="36">
        <v>13.5</v>
      </c>
    </row>
    <row r="965" spans="1:11" x14ac:dyDescent="0.25">
      <c r="A965" s="23" t="s">
        <v>6</v>
      </c>
      <c r="B965" s="24">
        <v>45529</v>
      </c>
      <c r="C965" s="28">
        <v>0.13</v>
      </c>
      <c r="D965" s="25">
        <f t="shared" ca="1" si="93"/>
        <v>145.73157365061397</v>
      </c>
      <c r="E965" s="26">
        <f>+E963*(1+C964*F965/365)</f>
        <v>145.73157365061397</v>
      </c>
      <c r="F965" s="27">
        <f t="shared" si="92"/>
        <v>2</v>
      </c>
      <c r="G965" s="28">
        <f t="shared" ca="1" si="87"/>
        <v>0.13272777750049886</v>
      </c>
      <c r="H965" s="28">
        <f t="shared" ca="1" si="90"/>
        <v>0.13285488305221757</v>
      </c>
      <c r="I965" s="28">
        <f t="shared" ca="1" si="88"/>
        <v>0.13911212856839758</v>
      </c>
      <c r="J965" s="28">
        <f t="shared" ca="1" si="91"/>
        <v>0.14318769712635887</v>
      </c>
      <c r="K965" s="36">
        <v>13.5</v>
      </c>
    </row>
    <row r="966" spans="1:11" x14ac:dyDescent="0.25">
      <c r="A966" s="13" t="s">
        <v>7</v>
      </c>
      <c r="B966" s="29">
        <v>45530</v>
      </c>
      <c r="C966" s="20">
        <v>0.13500000000000001</v>
      </c>
      <c r="D966" s="30">
        <f t="shared" ca="1" si="93"/>
        <v>145.78344110003241</v>
      </c>
      <c r="E966" s="31">
        <f>+E963*(1+C965*F966/365)</f>
        <v>145.78344110003241</v>
      </c>
      <c r="F966" s="32">
        <f t="shared" si="92"/>
        <v>3</v>
      </c>
      <c r="G966" s="20">
        <f t="shared" ca="1" si="87"/>
        <v>0.13216736852443306</v>
      </c>
      <c r="H966" s="20">
        <f t="shared" ca="1" si="90"/>
        <v>0.13268334165958903</v>
      </c>
      <c r="I966" s="20">
        <f t="shared" ca="1" si="88"/>
        <v>0.1389936943917798</v>
      </c>
      <c r="J966" s="20">
        <f t="shared" ca="1" si="91"/>
        <v>0.14312769124095298</v>
      </c>
      <c r="K966" s="36">
        <v>13.5</v>
      </c>
    </row>
    <row r="967" spans="1:11" x14ac:dyDescent="0.25">
      <c r="A967" s="13" t="s">
        <v>7</v>
      </c>
      <c r="B967" s="29">
        <v>45531</v>
      </c>
      <c r="C967" s="20">
        <v>0.126336</v>
      </c>
      <c r="D967" s="30">
        <f t="shared" ca="1" si="93"/>
        <v>145.837361002905</v>
      </c>
      <c r="E967" s="31">
        <f>+E966*(1+C966*F967/365)</f>
        <v>145.837361002905</v>
      </c>
      <c r="F967" s="32">
        <f t="shared" si="92"/>
        <v>1</v>
      </c>
      <c r="G967" s="20">
        <f t="shared" ca="1" si="87"/>
        <v>0.1322160451094832</v>
      </c>
      <c r="H967" s="20">
        <f t="shared" ca="1" si="90"/>
        <v>0.1326850229503525</v>
      </c>
      <c r="I967" s="20">
        <f t="shared" ca="1" si="88"/>
        <v>0.1389362568438535</v>
      </c>
      <c r="J967" s="20">
        <f t="shared" ca="1" si="91"/>
        <v>0.14309796421201812</v>
      </c>
      <c r="K967" s="36">
        <v>13.5</v>
      </c>
    </row>
    <row r="968" spans="1:11" x14ac:dyDescent="0.25">
      <c r="A968" s="13" t="s">
        <v>7</v>
      </c>
      <c r="B968" s="29">
        <v>45532</v>
      </c>
      <c r="C968" s="20">
        <v>0.13</v>
      </c>
      <c r="D968" s="30">
        <f t="shared" ca="1" si="93"/>
        <v>145.88783910931505</v>
      </c>
      <c r="E968" s="31">
        <f>+E967*(1+C967*F968/365)</f>
        <v>145.88783910931505</v>
      </c>
      <c r="F968" s="32">
        <f t="shared" si="92"/>
        <v>1</v>
      </c>
      <c r="G968" s="20">
        <f t="shared" ca="1" si="87"/>
        <v>0.13098137771095633</v>
      </c>
      <c r="H968" s="20">
        <f t="shared" ca="1" si="90"/>
        <v>0.13239654260911857</v>
      </c>
      <c r="I968" s="20">
        <f t="shared" ca="1" si="88"/>
        <v>0.13877817943108883</v>
      </c>
      <c r="J968" s="20">
        <f t="shared" ca="1" si="91"/>
        <v>0.14301672729976947</v>
      </c>
      <c r="K968" s="36">
        <v>13.5</v>
      </c>
    </row>
    <row r="969" spans="1:11" x14ac:dyDescent="0.25">
      <c r="A969" s="13" t="s">
        <v>7</v>
      </c>
      <c r="B969" s="29">
        <v>45533</v>
      </c>
      <c r="C969" s="20">
        <v>0.133322</v>
      </c>
      <c r="D969" s="30">
        <f t="shared" ca="1" si="93"/>
        <v>145.93979916160058</v>
      </c>
      <c r="E969" s="31">
        <f>+E968*(1+C968*F969/365)</f>
        <v>145.93979916160058</v>
      </c>
      <c r="F969" s="32">
        <f t="shared" si="92"/>
        <v>1</v>
      </c>
      <c r="G969" s="20">
        <f t="shared" ref="G969:G1032" ca="1" si="94">(D969/OFFSET(D969,-7,0)-1)*365/7</f>
        <v>0.13085353167356881</v>
      </c>
      <c r="H969" s="20">
        <f t="shared" ca="1" si="90"/>
        <v>0.13222812458278441</v>
      </c>
      <c r="I969" s="20">
        <f t="shared" ca="1" si="88"/>
        <v>0.13866331023749284</v>
      </c>
      <c r="J969" s="20">
        <f t="shared" ca="1" si="91"/>
        <v>0.14295727628084309</v>
      </c>
      <c r="K969" s="36">
        <v>13.5</v>
      </c>
    </row>
    <row r="970" spans="1:11" x14ac:dyDescent="0.25">
      <c r="A970" s="13" t="s">
        <v>7</v>
      </c>
      <c r="B970" s="29">
        <v>45534</v>
      </c>
      <c r="C970" s="20">
        <v>0.13500000000000001</v>
      </c>
      <c r="D970" s="30">
        <f t="shared" ca="1" si="93"/>
        <v>145.99310597229598</v>
      </c>
      <c r="E970" s="31">
        <f>+E969*(1+C969*F970/365)</f>
        <v>145.99310597229598</v>
      </c>
      <c r="F970" s="32">
        <f t="shared" si="92"/>
        <v>1</v>
      </c>
      <c r="G970" s="20">
        <f t="shared" ca="1" si="94"/>
        <v>0.13078595865829537</v>
      </c>
      <c r="H970" s="20">
        <f t="shared" ca="1" si="90"/>
        <v>0.13217160426712055</v>
      </c>
      <c r="I970" s="20">
        <f t="shared" ca="1" si="88"/>
        <v>0.13858424798124777</v>
      </c>
      <c r="J970" s="20">
        <f t="shared" ca="1" si="91"/>
        <v>0.14291789508459254</v>
      </c>
      <c r="K970" s="36">
        <v>13.5</v>
      </c>
    </row>
    <row r="971" spans="1:11" x14ac:dyDescent="0.25">
      <c r="A971" s="23" t="s">
        <v>6</v>
      </c>
      <c r="B971" s="24">
        <v>45535</v>
      </c>
      <c r="C971" s="28">
        <v>0.13500000000000001</v>
      </c>
      <c r="D971" s="25">
        <f t="shared" ca="1" si="93"/>
        <v>146.04710342245011</v>
      </c>
      <c r="E971" s="26">
        <f>+E970*(1+C970*F971/365)</f>
        <v>146.04710342245011</v>
      </c>
      <c r="F971" s="27">
        <f t="shared" si="92"/>
        <v>1</v>
      </c>
      <c r="G971" s="28">
        <f t="shared" ca="1" si="94"/>
        <v>0.13150178101062751</v>
      </c>
      <c r="H971" s="28">
        <f t="shared" ca="1" si="90"/>
        <v>0.13216200462268529</v>
      </c>
      <c r="I971" s="28">
        <f t="shared" ca="1" si="88"/>
        <v>0.13852507972838754</v>
      </c>
      <c r="J971" s="28">
        <f t="shared" ca="1" si="91"/>
        <v>0.14288880888911282</v>
      </c>
      <c r="K971" s="36">
        <v>13.5</v>
      </c>
    </row>
    <row r="972" spans="1:11" x14ac:dyDescent="0.25">
      <c r="A972" s="23" t="s">
        <v>6</v>
      </c>
      <c r="B972" s="24">
        <v>45536</v>
      </c>
      <c r="C972" s="28">
        <v>0.13500000000000001</v>
      </c>
      <c r="D972" s="25">
        <f t="shared" ca="1" si="93"/>
        <v>146.10110087260426</v>
      </c>
      <c r="E972" s="26">
        <f>+E970*(1+C971*F972/365)</f>
        <v>146.10110087260426</v>
      </c>
      <c r="F972" s="27">
        <f t="shared" si="92"/>
        <v>2</v>
      </c>
      <c r="G972" s="28">
        <f t="shared" ca="1" si="94"/>
        <v>0.13221709382506172</v>
      </c>
      <c r="H972" s="28">
        <f t="shared" ca="1" si="90"/>
        <v>0.13216032340341274</v>
      </c>
      <c r="I972" s="28">
        <f t="shared" ca="1" si="88"/>
        <v>0.13846595687901542</v>
      </c>
      <c r="J972" s="28">
        <f t="shared" ca="1" si="91"/>
        <v>0.14285878841062713</v>
      </c>
      <c r="K972" s="36">
        <v>13.5</v>
      </c>
    </row>
    <row r="973" spans="1:11" x14ac:dyDescent="0.25">
      <c r="A973" s="23" t="s">
        <v>6</v>
      </c>
      <c r="B973" s="24">
        <v>45537</v>
      </c>
      <c r="C973" s="28">
        <v>0.13500000000000001</v>
      </c>
      <c r="D973" s="25">
        <f t="shared" ca="1" si="93"/>
        <v>146.15509832275839</v>
      </c>
      <c r="E973" s="26">
        <f>+E972*(1+C972*F973/365)</f>
        <v>146.26321305302454</v>
      </c>
      <c r="F973" s="27">
        <f t="shared" si="92"/>
        <v>3</v>
      </c>
      <c r="G973" s="28">
        <f t="shared" ca="1" si="94"/>
        <v>0.1329318976454533</v>
      </c>
      <c r="H973" s="28">
        <f t="shared" ca="1" si="90"/>
        <v>0.1322878555413968</v>
      </c>
      <c r="I973" s="28">
        <f t="shared" ca="1" si="88"/>
        <v>0.13840738037246655</v>
      </c>
      <c r="J973" s="28">
        <f t="shared" ca="1" si="91"/>
        <v>0.14282847185009934</v>
      </c>
      <c r="K973" s="36">
        <v>13.5</v>
      </c>
    </row>
    <row r="974" spans="1:11" x14ac:dyDescent="0.25">
      <c r="A974" s="23" t="s">
        <v>6</v>
      </c>
      <c r="B974" s="24">
        <v>45538</v>
      </c>
      <c r="C974" s="28">
        <v>0.13500000000000001</v>
      </c>
      <c r="D974" s="25">
        <f t="shared" ca="1" si="93"/>
        <v>146.20909577291252</v>
      </c>
      <c r="E974" s="26">
        <f>+E972*(1+C973*F974/365)</f>
        <v>146.31725044649798</v>
      </c>
      <c r="F974" s="27">
        <f t="shared" si="92"/>
        <v>4</v>
      </c>
      <c r="G974" s="28">
        <f t="shared" ca="1" si="94"/>
        <v>0.13291047557524954</v>
      </c>
      <c r="H974" s="28">
        <f t="shared" ca="1" si="90"/>
        <v>0.13241529612188105</v>
      </c>
      <c r="I974" s="28">
        <f t="shared" ca="1" si="88"/>
        <v>0.13834823223465745</v>
      </c>
      <c r="J974" s="28">
        <f t="shared" ca="1" si="91"/>
        <v>0.14279785943898771</v>
      </c>
      <c r="K974" s="36">
        <v>13.5</v>
      </c>
    </row>
    <row r="975" spans="1:11" x14ac:dyDescent="0.25">
      <c r="A975" s="13" t="s">
        <v>7</v>
      </c>
      <c r="B975" s="29">
        <v>45539</v>
      </c>
      <c r="C975" s="20">
        <v>0.13500000000000001</v>
      </c>
      <c r="D975" s="30">
        <f t="shared" ca="1" si="93"/>
        <v>146.26309322306665</v>
      </c>
      <c r="E975" s="31">
        <f>+E970*(1+C974*F975/365)</f>
        <v>146.26309322306665</v>
      </c>
      <c r="F975" s="32">
        <f t="shared" si="92"/>
        <v>5</v>
      </c>
      <c r="G975" s="20">
        <f t="shared" ca="1" si="94"/>
        <v>0.13412236252918955</v>
      </c>
      <c r="H975" s="20">
        <f t="shared" ca="1" si="90"/>
        <v>0.13254264524342041</v>
      </c>
      <c r="I975" s="20">
        <f t="shared" ca="1" si="88"/>
        <v>0.13828851291254399</v>
      </c>
      <c r="J975" s="20">
        <f t="shared" ca="1" si="91"/>
        <v>0.14276695140861498</v>
      </c>
      <c r="K975" s="36">
        <v>13.5</v>
      </c>
    </row>
    <row r="976" spans="1:11" x14ac:dyDescent="0.25">
      <c r="A976" s="13" t="s">
        <v>7</v>
      </c>
      <c r="B976" s="29">
        <v>45540</v>
      </c>
      <c r="C976" s="20">
        <v>0.13193199999999999</v>
      </c>
      <c r="D976" s="30">
        <f t="shared" ca="1" si="93"/>
        <v>146.317190531519</v>
      </c>
      <c r="E976" s="31">
        <f>+E975*(1+C975*F976/365)</f>
        <v>146.317190531519</v>
      </c>
      <c r="F976" s="32">
        <f t="shared" si="92"/>
        <v>1</v>
      </c>
      <c r="G976" s="20">
        <f t="shared" ca="1" si="94"/>
        <v>0.1348382305693942</v>
      </c>
      <c r="H976" s="20">
        <f t="shared" ca="1" si="90"/>
        <v>0.13260098621751035</v>
      </c>
      <c r="I976" s="20">
        <f t="shared" ca="1" si="88"/>
        <v>0.13823108502093442</v>
      </c>
      <c r="J976" s="20">
        <f t="shared" ca="1" si="91"/>
        <v>0.14273754839981156</v>
      </c>
      <c r="K976" s="36">
        <v>13.5</v>
      </c>
    </row>
    <row r="977" spans="1:11" x14ac:dyDescent="0.25">
      <c r="A977" s="13" t="s">
        <v>7</v>
      </c>
      <c r="B977" s="29">
        <v>45541</v>
      </c>
      <c r="C977" s="20">
        <v>0.13197900000000001</v>
      </c>
      <c r="D977" s="30">
        <f t="shared" ca="1" si="93"/>
        <v>146.37007798242641</v>
      </c>
      <c r="E977" s="31">
        <f>+E976*(1+C976*F977/365)</f>
        <v>146.37007798242641</v>
      </c>
      <c r="F977" s="32">
        <f t="shared" si="92"/>
        <v>1</v>
      </c>
      <c r="G977" s="20">
        <f t="shared" ca="1" si="94"/>
        <v>0.13463921833964593</v>
      </c>
      <c r="H977" s="20">
        <f t="shared" ca="1" si="90"/>
        <v>0.13249764319873814</v>
      </c>
      <c r="I977" s="20">
        <f t="shared" ca="1" si="88"/>
        <v>0.13813842064393789</v>
      </c>
      <c r="J977" s="20">
        <f t="shared" ca="1" si="91"/>
        <v>0.14269022738864987</v>
      </c>
      <c r="K977" s="36">
        <v>13.5</v>
      </c>
    </row>
    <row r="978" spans="1:11" x14ac:dyDescent="0.25">
      <c r="A978" s="23" t="s">
        <v>6</v>
      </c>
      <c r="B978" s="24">
        <v>45542</v>
      </c>
      <c r="C978" s="28">
        <v>0.13197900000000001</v>
      </c>
      <c r="D978" s="25">
        <f t="shared" ca="1" si="93"/>
        <v>146.42300339755531</v>
      </c>
      <c r="E978" s="26">
        <f>+E977*(1+C977*F978/365)</f>
        <v>146.42300339755531</v>
      </c>
      <c r="F978" s="27">
        <f t="shared" si="92"/>
        <v>1</v>
      </c>
      <c r="G978" s="28">
        <f t="shared" ca="1" si="94"/>
        <v>0.13420669251630879</v>
      </c>
      <c r="H978" s="28">
        <f t="shared" ca="1" si="90"/>
        <v>0.13357492332874654</v>
      </c>
      <c r="I978" s="28">
        <f t="shared" ca="1" si="88"/>
        <v>0.1380469146051137</v>
      </c>
      <c r="J978" s="28">
        <f t="shared" ca="1" si="91"/>
        <v>0.14264350536479575</v>
      </c>
      <c r="K978" s="36">
        <v>13.5</v>
      </c>
    </row>
    <row r="979" spans="1:11" x14ac:dyDescent="0.25">
      <c r="A979" s="23" t="s">
        <v>6</v>
      </c>
      <c r="B979" s="24">
        <v>45543</v>
      </c>
      <c r="C979" s="28">
        <v>0.13197900000000001</v>
      </c>
      <c r="D979" s="25">
        <f t="shared" ca="1" si="93"/>
        <v>146.47592881268417</v>
      </c>
      <c r="E979" s="26">
        <f>+E977*(1+C978*F979/365)</f>
        <v>146.47592881268417</v>
      </c>
      <c r="F979" s="27">
        <f t="shared" si="92"/>
        <v>2</v>
      </c>
      <c r="G979" s="28">
        <f t="shared" ca="1" si="94"/>
        <v>0.13377448640706097</v>
      </c>
      <c r="H979" s="28">
        <f t="shared" ca="1" si="90"/>
        <v>0.13380886106173756</v>
      </c>
      <c r="I979" s="28">
        <f t="shared" ca="1" si="88"/>
        <v>0.13795547868202143</v>
      </c>
      <c r="J979" s="28">
        <f t="shared" ca="1" si="91"/>
        <v>0.1425955443414047</v>
      </c>
      <c r="K979" s="36">
        <v>13.5</v>
      </c>
    </row>
    <row r="980" spans="1:11" x14ac:dyDescent="0.25">
      <c r="A980" s="13" t="s">
        <v>7</v>
      </c>
      <c r="B980" s="29">
        <v>45544</v>
      </c>
      <c r="C980" s="20">
        <v>0.13344700000000001</v>
      </c>
      <c r="D980" s="30">
        <f t="shared" ca="1" si="93"/>
        <v>146.52885422781307</v>
      </c>
      <c r="E980" s="31">
        <f>+E977*(1+C979*F980/365)</f>
        <v>146.52885422781307</v>
      </c>
      <c r="F980" s="32">
        <f t="shared" si="92"/>
        <v>3</v>
      </c>
      <c r="G980" s="20">
        <f t="shared" ca="1" si="94"/>
        <v>0.13334259965757972</v>
      </c>
      <c r="H980" s="20">
        <f t="shared" ca="1" si="90"/>
        <v>0.13373918254700859</v>
      </c>
      <c r="I980" s="20">
        <f t="shared" ca="1" si="88"/>
        <v>0.13786226482830402</v>
      </c>
      <c r="J980" s="20">
        <f t="shared" ca="1" si="91"/>
        <v>0.14254730102936683</v>
      </c>
      <c r="K980" s="36">
        <v>13.5</v>
      </c>
    </row>
    <row r="981" spans="1:11" x14ac:dyDescent="0.25">
      <c r="A981" s="13" t="s">
        <v>7</v>
      </c>
      <c r="B981" s="29">
        <v>45545</v>
      </c>
      <c r="C981" s="20">
        <v>0.13347200000000001</v>
      </c>
      <c r="D981" s="30">
        <f t="shared" ca="1" si="93"/>
        <v>146.58242638126549</v>
      </c>
      <c r="E981" s="31">
        <f>+E980*(1+C980*F981/365)</f>
        <v>146.58242638126549</v>
      </c>
      <c r="F981" s="32">
        <f t="shared" si="92"/>
        <v>1</v>
      </c>
      <c r="G981" s="20">
        <f t="shared" ca="1" si="94"/>
        <v>0.13314167956171383</v>
      </c>
      <c r="H981" s="20">
        <f t="shared" ca="1" si="90"/>
        <v>0.13372382585838591</v>
      </c>
      <c r="I981" s="20">
        <f t="shared" ca="1" si="88"/>
        <v>0.13778700748323872</v>
      </c>
      <c r="J981" s="20">
        <f t="shared" ca="1" si="91"/>
        <v>0.14250835120124161</v>
      </c>
      <c r="K981" s="36">
        <v>13.5</v>
      </c>
    </row>
    <row r="982" spans="1:11" x14ac:dyDescent="0.25">
      <c r="A982" s="13" t="s">
        <v>7</v>
      </c>
      <c r="B982" s="29">
        <v>45546</v>
      </c>
      <c r="C982" s="20">
        <v>0.13</v>
      </c>
      <c r="D982" s="30">
        <f t="shared" ca="1" si="93"/>
        <v>146.63602816102977</v>
      </c>
      <c r="E982" s="31">
        <f>+E981*(1+C981*F982/365)</f>
        <v>146.63602816102977</v>
      </c>
      <c r="F982" s="32">
        <f t="shared" si="92"/>
        <v>1</v>
      </c>
      <c r="G982" s="20">
        <f t="shared" ca="1" si="94"/>
        <v>0.13295146961055224</v>
      </c>
      <c r="H982" s="20">
        <f t="shared" ca="1" si="90"/>
        <v>0.13371096559459372</v>
      </c>
      <c r="I982" s="20">
        <f t="shared" ca="1" si="88"/>
        <v>0.1377120385939041</v>
      </c>
      <c r="J982" s="20">
        <f t="shared" ca="1" si="91"/>
        <v>0.1424695506648718</v>
      </c>
      <c r="K982" s="36">
        <v>13.5</v>
      </c>
    </row>
    <row r="983" spans="1:11" x14ac:dyDescent="0.25">
      <c r="A983" s="13" t="s">
        <v>7</v>
      </c>
      <c r="B983" s="29">
        <v>45547</v>
      </c>
      <c r="C983" s="20">
        <v>0.13216600000000001</v>
      </c>
      <c r="D983" s="30">
        <f t="shared" ca="1" si="93"/>
        <v>146.68825469160768</v>
      </c>
      <c r="E983" s="31">
        <f>+E982*(1+C982*F983/365)</f>
        <v>146.68825469160768</v>
      </c>
      <c r="F983" s="32">
        <f t="shared" si="92"/>
        <v>1</v>
      </c>
      <c r="G983" s="20">
        <f t="shared" ca="1" si="94"/>
        <v>0.13223562740681355</v>
      </c>
      <c r="H983" s="20">
        <f t="shared" ca="1" si="90"/>
        <v>0.13354252956912063</v>
      </c>
      <c r="I983" s="20">
        <f t="shared" ca="1" si="88"/>
        <v>0.13759719859844646</v>
      </c>
      <c r="J983" s="20">
        <f t="shared" ca="1" si="91"/>
        <v>0.14241011463133793</v>
      </c>
      <c r="K983" s="36">
        <v>13.5</v>
      </c>
    </row>
    <row r="984" spans="1:11" x14ac:dyDescent="0.25">
      <c r="A984" s="13" t="s">
        <v>7</v>
      </c>
      <c r="B984" s="29">
        <v>45548</v>
      </c>
      <c r="C984" s="20">
        <v>0.12798899999999999</v>
      </c>
      <c r="D984" s="30">
        <f t="shared" ca="1" si="93"/>
        <v>146.7413703076887</v>
      </c>
      <c r="E984" s="31">
        <f>+E983*(1+C983*F984/365)</f>
        <v>146.7413703076887</v>
      </c>
      <c r="F984" s="32">
        <f t="shared" si="92"/>
        <v>1</v>
      </c>
      <c r="G984" s="20">
        <f t="shared" ca="1" si="94"/>
        <v>0.13226912864469451</v>
      </c>
      <c r="H984" s="20">
        <f t="shared" ca="1" si="90"/>
        <v>0.13349799550940752</v>
      </c>
      <c r="I984" s="20">
        <f t="shared" ca="1" si="88"/>
        <v>0.13750723540987186</v>
      </c>
      <c r="J984" s="20">
        <f t="shared" ca="1" si="91"/>
        <v>0.14236387274330672</v>
      </c>
      <c r="K984" s="36">
        <v>13.5</v>
      </c>
    </row>
    <row r="985" spans="1:11" x14ac:dyDescent="0.25">
      <c r="A985" s="23" t="s">
        <v>6</v>
      </c>
      <c r="B985" s="24">
        <v>45549</v>
      </c>
      <c r="C985" s="28">
        <v>0.12798899999999999</v>
      </c>
      <c r="D985" s="25">
        <f t="shared" ca="1" si="93"/>
        <v>146.79282587274159</v>
      </c>
      <c r="E985" s="26">
        <f>+E984*(1+C984*F985/365)</f>
        <v>146.79282587274159</v>
      </c>
      <c r="F985" s="27">
        <f t="shared" si="92"/>
        <v>1</v>
      </c>
      <c r="G985" s="28">
        <f t="shared" ca="1" si="94"/>
        <v>0.13169788929612022</v>
      </c>
      <c r="H985" s="28">
        <f t="shared" ca="1" si="90"/>
        <v>0.13334381081348479</v>
      </c>
      <c r="I985" s="28">
        <f t="shared" ca="1" si="88"/>
        <v>0.13736992421647948</v>
      </c>
      <c r="J985" s="28">
        <f t="shared" ca="1" si="91"/>
        <v>0.14229312538518826</v>
      </c>
      <c r="K985" s="36">
        <v>13.5</v>
      </c>
    </row>
    <row r="986" spans="1:11" x14ac:dyDescent="0.25">
      <c r="A986" s="23" t="s">
        <v>6</v>
      </c>
      <c r="B986" s="24">
        <v>45550</v>
      </c>
      <c r="C986" s="28">
        <v>0.12798899999999999</v>
      </c>
      <c r="D986" s="25">
        <f t="shared" ca="1" si="93"/>
        <v>146.84428143779451</v>
      </c>
      <c r="E986" s="26">
        <f>+E984*(1+C985*F986/365)</f>
        <v>146.84428143779451</v>
      </c>
      <c r="F986" s="27">
        <f t="shared" si="92"/>
        <v>2</v>
      </c>
      <c r="G986" s="28">
        <f t="shared" ca="1" si="94"/>
        <v>0.13112706275368582</v>
      </c>
      <c r="H986" s="28">
        <f t="shared" ca="1" si="90"/>
        <v>0.13312178936317667</v>
      </c>
      <c r="I986" s="28">
        <f t="shared" ca="1" si="88"/>
        <v>0.13723271823663399</v>
      </c>
      <c r="J986" s="28">
        <f t="shared" ca="1" si="91"/>
        <v>0.14222147593520618</v>
      </c>
      <c r="K986" s="36">
        <v>13.5</v>
      </c>
    </row>
    <row r="987" spans="1:11" x14ac:dyDescent="0.25">
      <c r="A987" s="13" t="s">
        <v>7</v>
      </c>
      <c r="B987" s="29">
        <v>45551</v>
      </c>
      <c r="C987" s="20">
        <v>0.13</v>
      </c>
      <c r="D987" s="30">
        <f t="shared" ca="1" si="93"/>
        <v>146.8957370028474</v>
      </c>
      <c r="E987" s="31">
        <f>+E984*(1+C986*F987/365)</f>
        <v>146.8957370028474</v>
      </c>
      <c r="F987" s="32">
        <f t="shared" si="92"/>
        <v>3</v>
      </c>
      <c r="G987" s="20">
        <f t="shared" ca="1" si="94"/>
        <v>0.13055664857002744</v>
      </c>
      <c r="H987" s="20">
        <f t="shared" ca="1" si="90"/>
        <v>0.13291897802329522</v>
      </c>
      <c r="I987" s="20">
        <f t="shared" ca="1" si="88"/>
        <v>0.13709561734945219</v>
      </c>
      <c r="J987" s="20">
        <f t="shared" ca="1" si="91"/>
        <v>0.14214956241306126</v>
      </c>
      <c r="K987" s="36">
        <v>13.5</v>
      </c>
    </row>
    <row r="988" spans="1:11" x14ac:dyDescent="0.25">
      <c r="A988" s="13" t="s">
        <v>7</v>
      </c>
      <c r="B988" s="29">
        <v>45552</v>
      </c>
      <c r="C988" s="20">
        <v>0.13</v>
      </c>
      <c r="D988" s="30">
        <f t="shared" ca="1" si="93"/>
        <v>146.94805603246485</v>
      </c>
      <c r="E988" s="31">
        <f>+E987*(1+C987*F988/365)</f>
        <v>146.94805603246485</v>
      </c>
      <c r="F988" s="32">
        <f t="shared" si="92"/>
        <v>1</v>
      </c>
      <c r="G988" s="20">
        <f t="shared" ca="1" si="94"/>
        <v>0.13006316746383179</v>
      </c>
      <c r="H988" s="20">
        <f t="shared" ca="1" si="90"/>
        <v>0.13278858681277819</v>
      </c>
      <c r="I988" s="20">
        <f t="shared" ref="I988:I1051" ca="1" si="95">($D988/OFFSET($D988,-90,0)-1)*365/90</f>
        <v>0.13698325672916942</v>
      </c>
      <c r="J988" s="20">
        <f t="shared" ca="1" si="91"/>
        <v>0.14209013514296762</v>
      </c>
      <c r="K988" s="36">
        <v>13.5</v>
      </c>
    </row>
    <row r="989" spans="1:11" x14ac:dyDescent="0.25">
      <c r="A989" s="13" t="s">
        <v>7</v>
      </c>
      <c r="B989" s="29">
        <v>45553</v>
      </c>
      <c r="C989" s="20">
        <v>0.12967100000000001</v>
      </c>
      <c r="D989" s="30">
        <f t="shared" ca="1" si="93"/>
        <v>147.00039369625725</v>
      </c>
      <c r="E989" s="31">
        <f>+E988*(1+C988*F989/365)</f>
        <v>147.00039369625725</v>
      </c>
      <c r="F989" s="32">
        <f t="shared" si="92"/>
        <v>1</v>
      </c>
      <c r="G989" s="20">
        <f t="shared" ca="1" si="94"/>
        <v>0.1295661120218177</v>
      </c>
      <c r="H989" s="20">
        <f t="shared" ca="1" si="90"/>
        <v>0.13265985027572136</v>
      </c>
      <c r="I989" s="20">
        <f t="shared" ca="1" si="95"/>
        <v>0.13686843669268309</v>
      </c>
      <c r="J989" s="20">
        <f t="shared" ca="1" si="91"/>
        <v>0.14203102847691546</v>
      </c>
      <c r="K989" s="36">
        <v>13.5</v>
      </c>
    </row>
    <row r="990" spans="1:11" x14ac:dyDescent="0.25">
      <c r="A990" s="13" t="s">
        <v>7</v>
      </c>
      <c r="B990" s="29">
        <v>45554</v>
      </c>
      <c r="C990" s="20">
        <v>0.13403399999999999</v>
      </c>
      <c r="D990" s="30">
        <f t="shared" ca="1" si="93"/>
        <v>147.05261749913669</v>
      </c>
      <c r="E990" s="31">
        <f>+E989*(1+C989*F990/365)</f>
        <v>147.05261749913669</v>
      </c>
      <c r="F990" s="32">
        <f t="shared" si="92"/>
        <v>1</v>
      </c>
      <c r="G990" s="20">
        <f t="shared" ca="1" si="94"/>
        <v>0.12951901201018839</v>
      </c>
      <c r="H990" s="20">
        <f t="shared" ca="1" si="90"/>
        <v>0.13249179901487285</v>
      </c>
      <c r="I990" s="20">
        <f t="shared" ca="1" si="95"/>
        <v>0.13674984232499984</v>
      </c>
      <c r="J990" s="20">
        <f t="shared" ca="1" si="91"/>
        <v>0.14197028709338025</v>
      </c>
      <c r="K990" s="36">
        <v>13.5</v>
      </c>
    </row>
    <row r="991" spans="1:11" x14ac:dyDescent="0.25">
      <c r="A991" s="13" t="s">
        <v>7</v>
      </c>
      <c r="B991" s="29">
        <v>45555</v>
      </c>
      <c r="C991" s="20">
        <v>0.134822</v>
      </c>
      <c r="D991" s="30">
        <f t="shared" ca="1" si="93"/>
        <v>147.10661763758566</v>
      </c>
      <c r="E991" s="31">
        <f>+E990*(1+C990*F991/365)</f>
        <v>147.10661763758566</v>
      </c>
      <c r="F991" s="32">
        <f t="shared" ref="F991:F1022" si="96">IF(A990="Working day",1,(IF(A989="Working day",2,(IF(A988="Working day",3,IF(A987="Working day",4,IF(A986="Working day",5,6)))))))</f>
        <v>1</v>
      </c>
      <c r="G991" s="20">
        <f t="shared" ca="1" si="94"/>
        <v>0.12978643517294355</v>
      </c>
      <c r="H991" s="20">
        <f t="shared" ca="1" si="90"/>
        <v>0.13246060775140164</v>
      </c>
      <c r="I991" s="20">
        <f t="shared" ca="1" si="95"/>
        <v>0.13668134450497521</v>
      </c>
      <c r="J991" s="20">
        <f t="shared" ca="1" si="91"/>
        <v>0.14193579186756444</v>
      </c>
      <c r="K991" s="36">
        <v>13.5</v>
      </c>
    </row>
    <row r="992" spans="1:11" x14ac:dyDescent="0.25">
      <c r="A992" s="23" t="s">
        <v>6</v>
      </c>
      <c r="B992" s="24">
        <v>45556</v>
      </c>
      <c r="C992" s="28">
        <v>0.134822</v>
      </c>
      <c r="D992" s="25">
        <f t="shared" ca="1" si="93"/>
        <v>147.16095519485452</v>
      </c>
      <c r="E992" s="26">
        <f>+E991*(1+C991*F992/365)</f>
        <v>147.16095519485452</v>
      </c>
      <c r="F992" s="27">
        <f t="shared" si="96"/>
        <v>1</v>
      </c>
      <c r="G992" s="28">
        <f t="shared" ca="1" si="94"/>
        <v>0.13076466468240994</v>
      </c>
      <c r="H992" s="28">
        <f t="shared" ref="H992:H1055" ca="1" si="97">($D992/OFFSET($D992,-30,0)-1)*365/30</f>
        <v>0.13259295281446634</v>
      </c>
      <c r="I992" s="28">
        <f t="shared" ca="1" si="95"/>
        <v>0.13662251124989264</v>
      </c>
      <c r="J992" s="28">
        <f t="shared" ca="1" si="91"/>
        <v>0.14190629782546538</v>
      </c>
      <c r="K992" s="36">
        <v>13.5</v>
      </c>
    </row>
    <row r="993" spans="1:11" x14ac:dyDescent="0.25">
      <c r="A993" s="23" t="s">
        <v>6</v>
      </c>
      <c r="B993" s="24">
        <v>45557</v>
      </c>
      <c r="C993" s="28">
        <v>0.134822</v>
      </c>
      <c r="D993" s="25">
        <f t="shared" ca="1" si="93"/>
        <v>147.21529275212336</v>
      </c>
      <c r="E993" s="26">
        <f>+E991*(1+C992*F993/365)</f>
        <v>147.21529275212336</v>
      </c>
      <c r="F993" s="27">
        <f t="shared" si="96"/>
        <v>2</v>
      </c>
      <c r="G993" s="28">
        <f t="shared" ca="1" si="94"/>
        <v>0.13174220863090422</v>
      </c>
      <c r="H993" s="28">
        <f t="shared" ca="1" si="97"/>
        <v>0.13262590337415237</v>
      </c>
      <c r="I993" s="28">
        <f t="shared" ca="1" si="95"/>
        <v>0.13656372307529452</v>
      </c>
      <c r="J993" s="28">
        <f t="shared" ca="1" si="91"/>
        <v>0.14187523402980878</v>
      </c>
      <c r="K993" s="36">
        <v>13.5</v>
      </c>
    </row>
    <row r="994" spans="1:11" x14ac:dyDescent="0.25">
      <c r="A994" s="13" t="s">
        <v>7</v>
      </c>
      <c r="B994" s="29">
        <v>45558</v>
      </c>
      <c r="C994" s="20">
        <v>0.13500000000000001</v>
      </c>
      <c r="D994" s="30">
        <f t="shared" ca="1" si="93"/>
        <v>147.26963030939226</v>
      </c>
      <c r="E994" s="31">
        <f>+E991*(1+C993*F994/365)</f>
        <v>147.26963030939226</v>
      </c>
      <c r="F994" s="32">
        <f t="shared" si="96"/>
        <v>3</v>
      </c>
      <c r="G994" s="20">
        <f t="shared" ca="1" si="94"/>
        <v>0.13271906773891626</v>
      </c>
      <c r="H994" s="20">
        <f t="shared" ca="1" si="97"/>
        <v>0.13278497845823187</v>
      </c>
      <c r="I994" s="20">
        <f t="shared" ca="1" si="95"/>
        <v>0.13650313256253713</v>
      </c>
      <c r="J994" s="20">
        <f t="shared" ca="1" si="91"/>
        <v>0.1418438750965933</v>
      </c>
      <c r="K994" s="36">
        <v>13.5</v>
      </c>
    </row>
    <row r="995" spans="1:11" x14ac:dyDescent="0.25">
      <c r="A995" s="13" t="s">
        <v>7</v>
      </c>
      <c r="B995" s="29">
        <v>45559</v>
      </c>
      <c r="C995" s="20">
        <v>0.13500000000000001</v>
      </c>
      <c r="D995" s="30">
        <f t="shared" ca="1" si="93"/>
        <v>147.32409989868475</v>
      </c>
      <c r="E995" s="31">
        <f>+E994*(1+C994*F995/365)</f>
        <v>147.32409989868475</v>
      </c>
      <c r="F995" s="32">
        <f t="shared" si="96"/>
        <v>1</v>
      </c>
      <c r="G995" s="20">
        <f t="shared" ca="1" si="94"/>
        <v>0.13343491656275827</v>
      </c>
      <c r="H995" s="20">
        <f t="shared" ca="1" si="97"/>
        <v>0.13295496324391057</v>
      </c>
      <c r="I995" s="20">
        <f t="shared" ca="1" si="95"/>
        <v>0.13643515557594144</v>
      </c>
      <c r="J995" s="20">
        <f t="shared" ca="1" si="91"/>
        <v>0.14181416564743829</v>
      </c>
      <c r="K995" s="36">
        <v>13.5</v>
      </c>
    </row>
    <row r="996" spans="1:11" x14ac:dyDescent="0.25">
      <c r="A996" s="13" t="s">
        <v>7</v>
      </c>
      <c r="B996" s="29">
        <v>45560</v>
      </c>
      <c r="C996" s="20">
        <v>0.13500000000000001</v>
      </c>
      <c r="D996" s="30">
        <f t="shared" ca="1" si="93"/>
        <v>147.3785896342637</v>
      </c>
      <c r="E996" s="31">
        <f>+E995*(1+C995*F996/365)</f>
        <v>147.3785896342637</v>
      </c>
      <c r="F996" s="32">
        <f t="shared" si="96"/>
        <v>1</v>
      </c>
      <c r="G996" s="20">
        <f t="shared" ca="1" si="94"/>
        <v>0.13415077518926374</v>
      </c>
      <c r="H996" s="20">
        <f t="shared" ca="1" si="97"/>
        <v>0.13312650842489893</v>
      </c>
      <c r="I996" s="20">
        <f t="shared" ca="1" si="95"/>
        <v>0.1363777530630535</v>
      </c>
      <c r="J996" s="20">
        <f t="shared" ca="1" si="91"/>
        <v>0.14178445660510591</v>
      </c>
      <c r="K996" s="36">
        <v>13.5</v>
      </c>
    </row>
    <row r="997" spans="1:11" x14ac:dyDescent="0.25">
      <c r="A997" s="13" t="s">
        <v>7</v>
      </c>
      <c r="B997" s="29">
        <v>45561</v>
      </c>
      <c r="C997" s="20">
        <v>0.13500000000000001</v>
      </c>
      <c r="D997" s="30">
        <f t="shared" ca="1" si="93"/>
        <v>147.43309952358047</v>
      </c>
      <c r="E997" s="31">
        <f>+E996*(1+C996*F997/365)</f>
        <v>147.43309952358047</v>
      </c>
      <c r="F997" s="32">
        <f t="shared" si="96"/>
        <v>1</v>
      </c>
      <c r="G997" s="20">
        <f t="shared" ca="1" si="94"/>
        <v>0.1349137484486686</v>
      </c>
      <c r="H997" s="20">
        <f t="shared" ca="1" si="97"/>
        <v>0.13312650842489893</v>
      </c>
      <c r="I997" s="20">
        <f t="shared" ca="1" si="95"/>
        <v>0.13632035133619921</v>
      </c>
      <c r="J997" s="20">
        <f t="shared" ca="1" si="91"/>
        <v>0.14175474796959073</v>
      </c>
      <c r="K997" s="36">
        <v>13.5</v>
      </c>
    </row>
    <row r="998" spans="1:11" x14ac:dyDescent="0.25">
      <c r="A998" s="13" t="s">
        <v>7</v>
      </c>
      <c r="B998" s="29">
        <v>45562</v>
      </c>
      <c r="C998" s="20">
        <v>0.13500000000000001</v>
      </c>
      <c r="D998" s="30">
        <f t="shared" ca="1" si="93"/>
        <v>147.48762957408917</v>
      </c>
      <c r="E998" s="31">
        <f>+E997*(1+C997*F998/365)</f>
        <v>147.48762957408917</v>
      </c>
      <c r="F998" s="32">
        <f t="shared" si="96"/>
        <v>1</v>
      </c>
      <c r="G998" s="20">
        <f t="shared" ca="1" si="94"/>
        <v>0.13505205471973711</v>
      </c>
      <c r="H998" s="20">
        <f t="shared" ca="1" si="97"/>
        <v>0.13341836742700416</v>
      </c>
      <c r="I998" s="20">
        <f t="shared" ca="1" si="95"/>
        <v>0.13626295039536868</v>
      </c>
      <c r="J998" s="20">
        <f t="shared" ca="1" si="91"/>
        <v>0.14172535867247221</v>
      </c>
      <c r="K998" s="36">
        <v>13.5</v>
      </c>
    </row>
    <row r="999" spans="1:11" x14ac:dyDescent="0.25">
      <c r="A999" s="23" t="s">
        <v>6</v>
      </c>
      <c r="B999" s="24">
        <v>45563</v>
      </c>
      <c r="C999" s="28">
        <v>0.13500000000000001</v>
      </c>
      <c r="D999" s="25">
        <f t="shared" ca="1" si="93"/>
        <v>147.5421797932467</v>
      </c>
      <c r="E999" s="26">
        <f>+E998*(1+C998*F999/365)</f>
        <v>147.5421797932467</v>
      </c>
      <c r="F999" s="27">
        <f t="shared" si="96"/>
        <v>1</v>
      </c>
      <c r="G999" s="28">
        <f t="shared" ca="1" si="94"/>
        <v>0.135077539738619</v>
      </c>
      <c r="H999" s="28">
        <f t="shared" ca="1" si="97"/>
        <v>0.13358680175223164</v>
      </c>
      <c r="I999" s="28">
        <f t="shared" ca="1" si="95"/>
        <v>0.13620616645778105</v>
      </c>
      <c r="J999" s="28">
        <f t="shared" ca="1" si="91"/>
        <v>0.14169628845636134</v>
      </c>
      <c r="K999" s="36">
        <v>13.5</v>
      </c>
    </row>
    <row r="1000" spans="1:11" x14ac:dyDescent="0.25">
      <c r="A1000" s="23" t="s">
        <v>6</v>
      </c>
      <c r="B1000" s="24">
        <v>45564</v>
      </c>
      <c r="C1000" s="28">
        <v>0.13500000000000001</v>
      </c>
      <c r="D1000" s="25">
        <f t="shared" ca="1" si="93"/>
        <v>147.59673001240427</v>
      </c>
      <c r="E1000" s="26">
        <f>+E998*(1+C999*F1000/365)</f>
        <v>147.59673001240427</v>
      </c>
      <c r="F1000" s="27">
        <f t="shared" si="96"/>
        <v>2</v>
      </c>
      <c r="G1000" s="28">
        <f t="shared" ca="1" si="94"/>
        <v>0.13510300594435506</v>
      </c>
      <c r="H1000" s="28">
        <f t="shared" ca="1" si="97"/>
        <v>0.13364164714978488</v>
      </c>
      <c r="I1000" s="28">
        <f t="shared" ca="1" si="95"/>
        <v>0.13614942603040706</v>
      </c>
      <c r="J1000" s="28">
        <f t="shared" ca="1" si="91"/>
        <v>0.14166628447052138</v>
      </c>
      <c r="K1000" s="36">
        <v>13.5</v>
      </c>
    </row>
    <row r="1001" spans="1:11" x14ac:dyDescent="0.25">
      <c r="A1001" s="13" t="s">
        <v>7</v>
      </c>
      <c r="B1001" s="29">
        <v>45565</v>
      </c>
      <c r="C1001" s="20">
        <v>0.154977</v>
      </c>
      <c r="D1001" s="30">
        <f t="shared" ca="1" si="93"/>
        <v>147.6512802315618</v>
      </c>
      <c r="E1001" s="31">
        <f>+E998*(1+C1000*F1001/365)</f>
        <v>147.6512802315618</v>
      </c>
      <c r="F1001" s="32">
        <f t="shared" si="96"/>
        <v>3</v>
      </c>
      <c r="G1001" s="20">
        <f t="shared" ca="1" si="94"/>
        <v>0.13512845335770479</v>
      </c>
      <c r="H1001" s="20">
        <f t="shared" ca="1" si="97"/>
        <v>0.13363828554958254</v>
      </c>
      <c r="I1001" s="20">
        <f t="shared" ca="1" si="95"/>
        <v>0.13609088187807561</v>
      </c>
      <c r="J1001" s="20">
        <f t="shared" ca="1" si="91"/>
        <v>0.14163598456530055</v>
      </c>
      <c r="K1001" s="36">
        <v>13.5</v>
      </c>
    </row>
    <row r="1002" spans="1:11" x14ac:dyDescent="0.25">
      <c r="A1002" s="23" t="s">
        <v>6</v>
      </c>
      <c r="B1002" s="24">
        <v>45566</v>
      </c>
      <c r="C1002" s="28">
        <v>0.154977</v>
      </c>
      <c r="D1002" s="25">
        <f t="shared" ca="1" si="93"/>
        <v>147.7139721561</v>
      </c>
      <c r="E1002" s="26">
        <f>+E1000*(1+C1001*F1002/365)</f>
        <v>147.65939877521831</v>
      </c>
      <c r="F1002" s="27">
        <f t="shared" si="96"/>
        <v>1</v>
      </c>
      <c r="G1002" s="28">
        <f t="shared" ca="1" si="94"/>
        <v>0.1379886484040779</v>
      </c>
      <c r="H1002" s="28">
        <f t="shared" ca="1" si="97"/>
        <v>0.13431293238263972</v>
      </c>
      <c r="I1002" s="28">
        <f t="shared" ca="1" si="95"/>
        <v>0.13626281124405368</v>
      </c>
      <c r="J1002" s="28">
        <f t="shared" ca="1" si="91"/>
        <v>0.14175467594993987</v>
      </c>
      <c r="K1002" s="36">
        <v>13.5</v>
      </c>
    </row>
    <row r="1003" spans="1:11" x14ac:dyDescent="0.25">
      <c r="A1003" s="13" t="s">
        <v>7</v>
      </c>
      <c r="B1003" s="29">
        <v>45567</v>
      </c>
      <c r="C1003" s="20">
        <v>0.13500000000000001</v>
      </c>
      <c r="D1003" s="30">
        <f t="shared" ca="1" si="93"/>
        <v>147.77666408063823</v>
      </c>
      <c r="E1003" s="31">
        <f>+E1001*(1+C1002*F1003/365)</f>
        <v>147.77666408063823</v>
      </c>
      <c r="F1003" s="32">
        <f t="shared" si="96"/>
        <v>2</v>
      </c>
      <c r="G1003" s="20">
        <f t="shared" ca="1" si="94"/>
        <v>0.14083958220145029</v>
      </c>
      <c r="H1003" s="20">
        <f t="shared" ca="1" si="97"/>
        <v>0.13498708071501192</v>
      </c>
      <c r="I1003" s="20">
        <f t="shared" ca="1" si="95"/>
        <v>0.13643399256930067</v>
      </c>
      <c r="J1003" s="20">
        <f t="shared" ca="1" si="91"/>
        <v>0.14184327316673165</v>
      </c>
      <c r="K1003" s="36">
        <v>13.5</v>
      </c>
    </row>
    <row r="1004" spans="1:11" x14ac:dyDescent="0.25">
      <c r="A1004" s="13" t="s">
        <v>7</v>
      </c>
      <c r="B1004" s="29">
        <v>45568</v>
      </c>
      <c r="C1004" s="20">
        <v>0.13500000000000001</v>
      </c>
      <c r="D1004" s="30">
        <f t="shared" ca="1" si="93"/>
        <v>147.83132120296941</v>
      </c>
      <c r="E1004" s="31">
        <f>+E1003*(1+C1003*F1004/365)</f>
        <v>147.83132120296941</v>
      </c>
      <c r="F1004" s="32">
        <f t="shared" si="96"/>
        <v>1</v>
      </c>
      <c r="G1004" s="20">
        <f t="shared" ca="1" si="94"/>
        <v>0.14083958220145029</v>
      </c>
      <c r="H1004" s="20">
        <f t="shared" ca="1" si="97"/>
        <v>0.13499212180579398</v>
      </c>
      <c r="I1004" s="20">
        <f t="shared" ca="1" si="95"/>
        <v>0.13640685247280782</v>
      </c>
      <c r="J1004" s="20">
        <f t="shared" ca="1" si="91"/>
        <v>0.1418135637258186</v>
      </c>
      <c r="K1004" s="36">
        <v>13.5</v>
      </c>
    </row>
    <row r="1005" spans="1:11" x14ac:dyDescent="0.25">
      <c r="A1005" s="13" t="s">
        <v>7</v>
      </c>
      <c r="B1005" s="29">
        <v>45569</v>
      </c>
      <c r="C1005" s="20">
        <v>0.13500000000000001</v>
      </c>
      <c r="D1005" s="30">
        <f t="shared" ca="1" si="93"/>
        <v>147.88599854094858</v>
      </c>
      <c r="E1005" s="31">
        <f>+E1004*(1+C1004*F1005/365)</f>
        <v>147.88599854094858</v>
      </c>
      <c r="F1005" s="32">
        <f t="shared" si="96"/>
        <v>1</v>
      </c>
      <c r="G1005" s="20">
        <f t="shared" ca="1" si="94"/>
        <v>0.14083958220145029</v>
      </c>
      <c r="H1005" s="20">
        <f t="shared" ca="1" si="97"/>
        <v>0.13499884078149649</v>
      </c>
      <c r="I1005" s="20">
        <f t="shared" ca="1" si="95"/>
        <v>0.13637338684265071</v>
      </c>
      <c r="J1005" s="20">
        <f t="shared" ca="1" si="91"/>
        <v>0.14178417363196066</v>
      </c>
      <c r="K1005" s="36">
        <v>13.5</v>
      </c>
    </row>
    <row r="1006" spans="1:11" x14ac:dyDescent="0.25">
      <c r="A1006" s="23" t="s">
        <v>6</v>
      </c>
      <c r="B1006" s="24">
        <v>45570</v>
      </c>
      <c r="C1006" s="28">
        <v>0.13500000000000001</v>
      </c>
      <c r="D1006" s="25">
        <f t="shared" ca="1" si="93"/>
        <v>147.94069610205275</v>
      </c>
      <c r="E1006" s="26">
        <f>+E1005*(1+C1005*F1006/365)</f>
        <v>147.94069610205275</v>
      </c>
      <c r="F1006" s="27">
        <f t="shared" si="96"/>
        <v>1</v>
      </c>
      <c r="G1006" s="28">
        <f t="shared" ca="1" si="94"/>
        <v>0.14083958220145029</v>
      </c>
      <c r="H1006" s="28">
        <f t="shared" ca="1" si="97"/>
        <v>0.13499884078149918</v>
      </c>
      <c r="I1006" s="28">
        <f t="shared" ca="1" si="95"/>
        <v>0.13634051950509049</v>
      </c>
      <c r="J1006" s="28">
        <f t="shared" ca="1" si="91"/>
        <v>0.14175510262775978</v>
      </c>
      <c r="K1006" s="36">
        <v>13.5</v>
      </c>
    </row>
    <row r="1007" spans="1:11" x14ac:dyDescent="0.25">
      <c r="A1007" s="23" t="s">
        <v>6</v>
      </c>
      <c r="B1007" s="24">
        <v>45571</v>
      </c>
      <c r="C1007" s="28">
        <v>0.13500000000000001</v>
      </c>
      <c r="D1007" s="25">
        <f t="shared" ca="1" si="93"/>
        <v>147.99539366315696</v>
      </c>
      <c r="E1007" s="26">
        <f>+E1005*(1+C1006*F1007/365)</f>
        <v>147.99539366315696</v>
      </c>
      <c r="F1007" s="27">
        <f t="shared" si="96"/>
        <v>2</v>
      </c>
      <c r="G1007" s="28">
        <f t="shared" ca="1" si="94"/>
        <v>0.14083958220145029</v>
      </c>
      <c r="H1007" s="28">
        <f t="shared" ca="1" si="97"/>
        <v>0.13510052319524732</v>
      </c>
      <c r="I1007" s="28">
        <f t="shared" ca="1" si="95"/>
        <v>0.1363076769772088</v>
      </c>
      <c r="J1007" s="28">
        <f t="shared" ca="1" si="91"/>
        <v>0.14172509782851506</v>
      </c>
      <c r="K1007" s="36">
        <v>13.5</v>
      </c>
    </row>
    <row r="1008" spans="1:11" x14ac:dyDescent="0.25">
      <c r="A1008" s="13" t="s">
        <v>7</v>
      </c>
      <c r="B1008" s="29">
        <v>45572</v>
      </c>
      <c r="C1008" s="20">
        <v>0.13500000000000001</v>
      </c>
      <c r="D1008" s="30">
        <f t="shared" ca="1" si="93"/>
        <v>148.05009122426114</v>
      </c>
      <c r="E1008" s="31">
        <f>+E1005*(1+C1007*F1008/365)</f>
        <v>148.05009122426114</v>
      </c>
      <c r="F1008" s="32">
        <f t="shared" si="96"/>
        <v>3</v>
      </c>
      <c r="G1008" s="20">
        <f t="shared" ca="1" si="94"/>
        <v>0.14083958220145029</v>
      </c>
      <c r="H1008" s="20">
        <f t="shared" ca="1" si="97"/>
        <v>0.13519894255393583</v>
      </c>
      <c r="I1008" s="20">
        <f t="shared" ca="1" si="95"/>
        <v>0.136249130614639</v>
      </c>
      <c r="J1008" s="20">
        <f t="shared" ca="1" si="91"/>
        <v>0.14169471392112951</v>
      </c>
      <c r="K1008" s="36">
        <v>13.5</v>
      </c>
    </row>
    <row r="1009" spans="1:11" x14ac:dyDescent="0.25">
      <c r="A1009" s="13" t="s">
        <v>7</v>
      </c>
      <c r="B1009" s="29">
        <v>45573</v>
      </c>
      <c r="C1009" s="20">
        <v>0.13438600000000001</v>
      </c>
      <c r="D1009" s="30">
        <f t="shared" ca="1" si="93"/>
        <v>148.1048494771797</v>
      </c>
      <c r="E1009" s="31">
        <f>+E1008*(1+C1008*F1009/365)</f>
        <v>148.1048494771797</v>
      </c>
      <c r="F1009" s="32">
        <f t="shared" si="96"/>
        <v>1</v>
      </c>
      <c r="G1009" s="20">
        <f t="shared" ca="1" si="94"/>
        <v>0.13797923118541158</v>
      </c>
      <c r="H1009" s="20">
        <f t="shared" ca="1" si="97"/>
        <v>0.13530233200778288</v>
      </c>
      <c r="I1009" s="20">
        <f t="shared" ca="1" si="95"/>
        <v>0.13619173064906179</v>
      </c>
      <c r="J1009" s="20">
        <f t="shared" ca="1" si="91"/>
        <v>0.14166524232140928</v>
      </c>
      <c r="K1009" s="36">
        <v>13.5</v>
      </c>
    </row>
    <row r="1010" spans="1:11" x14ac:dyDescent="0.25">
      <c r="A1010" s="13" t="s">
        <v>7</v>
      </c>
      <c r="B1010" s="29">
        <v>45574</v>
      </c>
      <c r="C1010" s="20">
        <v>0.13080357142857099</v>
      </c>
      <c r="D1010" s="30">
        <f t="shared" ca="1" si="93"/>
        <v>148.15937884239023</v>
      </c>
      <c r="E1010" s="31">
        <f>+E1009*(1+C1009*F1010/365)</f>
        <v>148.15937884239023</v>
      </c>
      <c r="F1010" s="32">
        <f t="shared" si="96"/>
        <v>1</v>
      </c>
      <c r="G1010" s="20">
        <f t="shared" ca="1" si="94"/>
        <v>0.13504054427435169</v>
      </c>
      <c r="H1010" s="20">
        <f t="shared" ca="1" si="97"/>
        <v>0.13538664164064509</v>
      </c>
      <c r="I1010" s="20">
        <f t="shared" ca="1" si="95"/>
        <v>0.13616778347996397</v>
      </c>
      <c r="J1010" s="20">
        <f t="shared" ca="1" si="91"/>
        <v>0.14163244183887788</v>
      </c>
      <c r="K1010" s="36">
        <v>13.5</v>
      </c>
    </row>
    <row r="1011" spans="1:11" x14ac:dyDescent="0.25">
      <c r="A1011" s="13" t="s">
        <v>7</v>
      </c>
      <c r="B1011" s="29">
        <v>45575</v>
      </c>
      <c r="C1011" s="20">
        <v>0.13</v>
      </c>
      <c r="D1011" s="30">
        <f t="shared" ca="1" si="93"/>
        <v>148.21247411881001</v>
      </c>
      <c r="E1011" s="31">
        <f>+E1010*(1+C1010*F1011/365)</f>
        <v>148.21247411881001</v>
      </c>
      <c r="F1011" s="32">
        <f t="shared" si="96"/>
        <v>1</v>
      </c>
      <c r="G1011" s="20">
        <f t="shared" ca="1" si="94"/>
        <v>0.13443972412972666</v>
      </c>
      <c r="H1011" s="20">
        <f t="shared" ca="1" si="97"/>
        <v>0.13529757941019568</v>
      </c>
      <c r="I1011" s="20">
        <f t="shared" ca="1" si="95"/>
        <v>0.13611960878407489</v>
      </c>
      <c r="J1011" s="20">
        <f t="shared" ca="1" si="91"/>
        <v>0.14157867601042223</v>
      </c>
      <c r="K1011" s="36">
        <v>13.5</v>
      </c>
    </row>
    <row r="1012" spans="1:11" ht="15.75" customHeight="1" x14ac:dyDescent="0.25">
      <c r="A1012" s="13" t="s">
        <v>7</v>
      </c>
      <c r="B1012" s="29">
        <v>45576</v>
      </c>
      <c r="C1012" s="20">
        <v>0.13500000000000001</v>
      </c>
      <c r="D1012" s="30">
        <f t="shared" ca="1" si="93"/>
        <v>148.26526212329068</v>
      </c>
      <c r="E1012" s="31">
        <f>+E1011*(1+C1011*F1012/365)</f>
        <v>148.26526212329068</v>
      </c>
      <c r="F1012" s="32">
        <f t="shared" si="96"/>
        <v>1</v>
      </c>
      <c r="G1012" s="20">
        <f t="shared" ca="1" si="94"/>
        <v>0.13372386154648389</v>
      </c>
      <c r="H1012" s="20">
        <f t="shared" ca="1" si="97"/>
        <v>0.1351806018577717</v>
      </c>
      <c r="I1012" s="20">
        <f t="shared" ca="1" si="95"/>
        <v>0.13603217928721448</v>
      </c>
      <c r="J1012" s="20">
        <f t="shared" ca="1" si="91"/>
        <v>0.14151926437505488</v>
      </c>
      <c r="K1012" s="36">
        <v>13.5</v>
      </c>
    </row>
    <row r="1013" spans="1:11" x14ac:dyDescent="0.25">
      <c r="A1013" s="23" t="s">
        <v>6</v>
      </c>
      <c r="B1013" s="24">
        <v>45577</v>
      </c>
      <c r="C1013" s="28">
        <v>0.13500000000000001</v>
      </c>
      <c r="D1013" s="25">
        <f t="shared" ca="1" si="93"/>
        <v>148.3200999599664</v>
      </c>
      <c r="E1013" s="26">
        <f>+E1012*(1+C1012*F1013/365)</f>
        <v>148.3200999599664</v>
      </c>
      <c r="F1013" s="27">
        <f t="shared" si="96"/>
        <v>1</v>
      </c>
      <c r="G1013" s="28">
        <f t="shared" ca="1" si="94"/>
        <v>0.13372386154647228</v>
      </c>
      <c r="H1013" s="28">
        <f t="shared" ca="1" si="97"/>
        <v>0.13534906031459956</v>
      </c>
      <c r="I1013" s="28">
        <f t="shared" ca="1" si="95"/>
        <v>0.1360027443716727</v>
      </c>
      <c r="J1013" s="28">
        <f t="shared" ca="1" si="91"/>
        <v>0.14148987826788556</v>
      </c>
      <c r="K1013" s="36">
        <v>13.5</v>
      </c>
    </row>
    <row r="1014" spans="1:11" x14ac:dyDescent="0.25">
      <c r="A1014" s="23" t="s">
        <v>6</v>
      </c>
      <c r="B1014" s="24">
        <v>45578</v>
      </c>
      <c r="C1014" s="28">
        <v>0.13500000000000001</v>
      </c>
      <c r="D1014" s="25">
        <f t="shared" ca="1" si="93"/>
        <v>148.37493779664217</v>
      </c>
      <c r="E1014" s="26">
        <f>+E1012*(1+C1013*F1014/365)</f>
        <v>148.37493779664217</v>
      </c>
      <c r="F1014" s="27">
        <f t="shared" si="96"/>
        <v>2</v>
      </c>
      <c r="G1014" s="28">
        <f t="shared" ca="1" si="94"/>
        <v>0.13372386154648389</v>
      </c>
      <c r="H1014" s="28">
        <f t="shared" ca="1" si="97"/>
        <v>0.13544286164103905</v>
      </c>
      <c r="I1014" s="28">
        <f t="shared" ca="1" si="95"/>
        <v>0.13597333162675615</v>
      </c>
      <c r="J1014" s="28">
        <f t="shared" ref="J1014:J1077" ca="1" si="98">($D1014/OFFSET($D1014,-180,0)-1)*365/180</f>
        <v>0.14145987713671354</v>
      </c>
      <c r="K1014" s="36">
        <v>13.5</v>
      </c>
    </row>
    <row r="1015" spans="1:11" ht="15.75" customHeight="1" x14ac:dyDescent="0.25">
      <c r="A1015" s="13" t="s">
        <v>7</v>
      </c>
      <c r="B1015" s="29">
        <v>45579</v>
      </c>
      <c r="C1015" s="20">
        <v>0.13331699999999999</v>
      </c>
      <c r="D1015" s="30">
        <f t="shared" ca="1" si="93"/>
        <v>148.42977563331789</v>
      </c>
      <c r="E1015" s="31">
        <f>+E1012*(1+C1014*F1015/365)</f>
        <v>148.42977563331789</v>
      </c>
      <c r="F1015" s="32">
        <f t="shared" si="96"/>
        <v>3</v>
      </c>
      <c r="G1015" s="20">
        <f t="shared" ca="1" si="94"/>
        <v>0.13372386154647228</v>
      </c>
      <c r="H1015" s="20">
        <f t="shared" ca="1" si="97"/>
        <v>0.13567571826894065</v>
      </c>
      <c r="I1015" s="20">
        <f t="shared" ca="1" si="95"/>
        <v>0.13597164657580008</v>
      </c>
      <c r="J1015" s="20">
        <f t="shared" ca="1" si="98"/>
        <v>0.14142958011431525</v>
      </c>
      <c r="K1015" s="36">
        <v>13.5</v>
      </c>
    </row>
    <row r="1016" spans="1:11" ht="15.75" customHeight="1" x14ac:dyDescent="0.25">
      <c r="A1016" s="13" t="s">
        <v>7</v>
      </c>
      <c r="B1016" s="29">
        <v>45580</v>
      </c>
      <c r="C1016" s="20">
        <v>0.133163</v>
      </c>
      <c r="D1016" s="30">
        <f t="shared" ca="1" si="93"/>
        <v>148.48398991386065</v>
      </c>
      <c r="E1016" s="31">
        <f>+E1015*(1+C1015*F1016/365)</f>
        <v>148.48398991386065</v>
      </c>
      <c r="F1016" s="32">
        <f t="shared" si="96"/>
        <v>1</v>
      </c>
      <c r="G1016" s="20">
        <f t="shared" ca="1" si="94"/>
        <v>0.13348290550055456</v>
      </c>
      <c r="H1016" s="20">
        <f t="shared" ca="1" si="97"/>
        <v>0.13585674745703918</v>
      </c>
      <c r="I1016" s="20">
        <f t="shared" ca="1" si="95"/>
        <v>0.13594349916989754</v>
      </c>
      <c r="J1016" s="20">
        <f t="shared" ca="1" si="98"/>
        <v>0.14138987804723774</v>
      </c>
      <c r="K1016" s="36">
        <v>13.5</v>
      </c>
    </row>
    <row r="1017" spans="1:11" ht="15.75" customHeight="1" x14ac:dyDescent="0.25">
      <c r="A1017" s="13" t="s">
        <v>7</v>
      </c>
      <c r="B1017" s="29">
        <v>45581</v>
      </c>
      <c r="C1017" s="20">
        <v>0.13500000000000001</v>
      </c>
      <c r="D1017" s="30">
        <f t="shared" ca="1" si="93"/>
        <v>148.5381613482412</v>
      </c>
      <c r="E1017" s="31">
        <f>+E1016*(1+C1016*F1017/365)</f>
        <v>148.5381613482412</v>
      </c>
      <c r="F1017" s="32">
        <f t="shared" si="96"/>
        <v>1</v>
      </c>
      <c r="G1017" s="20">
        <f t="shared" ca="1" si="94"/>
        <v>0.13330780842305545</v>
      </c>
      <c r="H1017" s="20">
        <f t="shared" ca="1" si="97"/>
        <v>0.13603410107971572</v>
      </c>
      <c r="I1017" s="20">
        <f t="shared" ca="1" si="95"/>
        <v>0.13591834801888389</v>
      </c>
      <c r="J1017" s="20">
        <f t="shared" ca="1" si="98"/>
        <v>0.14134926184725163</v>
      </c>
      <c r="K1017" s="36">
        <v>13.5</v>
      </c>
    </row>
    <row r="1018" spans="1:11" ht="15.75" customHeight="1" x14ac:dyDescent="0.25">
      <c r="A1018" s="13" t="s">
        <v>7</v>
      </c>
      <c r="B1018" s="29">
        <v>45582</v>
      </c>
      <c r="C1018" s="20">
        <v>0.13500000000000001</v>
      </c>
      <c r="D1018" s="30">
        <f t="shared" ca="1" si="93"/>
        <v>148.5931001202467</v>
      </c>
      <c r="E1018" s="31">
        <f>+E1017*(1+C1017*F1018/365)</f>
        <v>148.5931001202467</v>
      </c>
      <c r="F1018" s="32">
        <f t="shared" si="96"/>
        <v>1</v>
      </c>
      <c r="G1018" s="20">
        <f t="shared" ca="1" si="94"/>
        <v>0.13390861555864092</v>
      </c>
      <c r="H1018" s="20">
        <f t="shared" ca="1" si="97"/>
        <v>0.13620257122415208</v>
      </c>
      <c r="I1018" s="20">
        <f t="shared" ca="1" si="95"/>
        <v>0.13586812692638081</v>
      </c>
      <c r="J1018" s="20">
        <f t="shared" ca="1" si="98"/>
        <v>0.14131955917102265</v>
      </c>
      <c r="K1018" s="36">
        <v>13.5</v>
      </c>
    </row>
    <row r="1019" spans="1:11" ht="15.75" customHeight="1" x14ac:dyDescent="0.25">
      <c r="A1019" s="13" t="s">
        <v>7</v>
      </c>
      <c r="B1019" s="29">
        <v>45583</v>
      </c>
      <c r="C1019" s="20">
        <v>0.13412499999999999</v>
      </c>
      <c r="D1019" s="30">
        <f t="shared" ca="1" si="93"/>
        <v>148.64805921207198</v>
      </c>
      <c r="E1019" s="31">
        <f>+E1018*(1+C1018*F1019/365)</f>
        <v>148.64805921207198</v>
      </c>
      <c r="F1019" s="32">
        <f t="shared" si="96"/>
        <v>1</v>
      </c>
      <c r="G1019" s="20">
        <f t="shared" ca="1" si="94"/>
        <v>0.13462448067185914</v>
      </c>
      <c r="H1019" s="20">
        <f t="shared" ca="1" si="97"/>
        <v>0.13637104367557623</v>
      </c>
      <c r="I1019" s="20">
        <f t="shared" ca="1" si="95"/>
        <v>0.13581480715332503</v>
      </c>
      <c r="J1019" s="20">
        <f t="shared" ca="1" si="98"/>
        <v>0.14129017576913405</v>
      </c>
      <c r="K1019" s="36">
        <v>13.5</v>
      </c>
    </row>
    <row r="1020" spans="1:11" x14ac:dyDescent="0.25">
      <c r="A1020" s="23" t="s">
        <v>6</v>
      </c>
      <c r="B1020" s="24">
        <v>45584</v>
      </c>
      <c r="C1020" s="28">
        <v>0.13412499999999999</v>
      </c>
      <c r="D1020" s="25">
        <f t="shared" ca="1" si="93"/>
        <v>148.70268228314546</v>
      </c>
      <c r="E1020" s="26">
        <f>+E1019*(1+C1019*F1020/365)</f>
        <v>148.70268228314546</v>
      </c>
      <c r="F1020" s="27">
        <f t="shared" si="96"/>
        <v>1</v>
      </c>
      <c r="G1020" s="28">
        <f t="shared" ca="1" si="94"/>
        <v>0.13449920427704828</v>
      </c>
      <c r="H1020" s="28">
        <f t="shared" ca="1" si="97"/>
        <v>0.13652112112562725</v>
      </c>
      <c r="I1020" s="28">
        <f t="shared" ca="1" si="95"/>
        <v>0.13575205712646637</v>
      </c>
      <c r="J1020" s="28">
        <f t="shared" ca="1" si="98"/>
        <v>0.14125591355597134</v>
      </c>
      <c r="K1020" s="36">
        <v>13.5</v>
      </c>
    </row>
    <row r="1021" spans="1:11" x14ac:dyDescent="0.25">
      <c r="A1021" s="23" t="s">
        <v>6</v>
      </c>
      <c r="B1021" s="24">
        <v>45585</v>
      </c>
      <c r="C1021" s="28">
        <v>0.13412499999999999</v>
      </c>
      <c r="D1021" s="25">
        <f t="shared" ca="1" si="93"/>
        <v>148.75730535421891</v>
      </c>
      <c r="E1021" s="26">
        <f>+E1019*(1+C1020*F1021/365)</f>
        <v>148.75730535421891</v>
      </c>
      <c r="F1021" s="27">
        <f t="shared" si="96"/>
        <v>2</v>
      </c>
      <c r="G1021" s="28">
        <f t="shared" ca="1" si="94"/>
        <v>0.13437402048392325</v>
      </c>
      <c r="H1021" s="28">
        <f t="shared" ca="1" si="97"/>
        <v>0.1365225272768863</v>
      </c>
      <c r="I1021" s="28">
        <f t="shared" ca="1" si="95"/>
        <v>0.13568935505950622</v>
      </c>
      <c r="J1021" s="28">
        <f t="shared" ca="1" si="98"/>
        <v>0.14122072174622999</v>
      </c>
      <c r="K1021" s="36">
        <v>13.5</v>
      </c>
    </row>
    <row r="1022" spans="1:11" ht="15.75" customHeight="1" x14ac:dyDescent="0.25">
      <c r="A1022" s="13" t="s">
        <v>7</v>
      </c>
      <c r="B1022" s="29">
        <v>45586</v>
      </c>
      <c r="C1022" s="20">
        <v>0.13500000000000001</v>
      </c>
      <c r="D1022" s="30">
        <f t="shared" ca="1" si="93"/>
        <v>148.81192842529242</v>
      </c>
      <c r="E1022" s="31">
        <f>+E1019*(1+C1021*F1022/365)</f>
        <v>148.81192842529242</v>
      </c>
      <c r="F1022" s="32">
        <f t="shared" si="96"/>
        <v>3</v>
      </c>
      <c r="G1022" s="20">
        <f t="shared" ca="1" si="94"/>
        <v>0.13424892918991421</v>
      </c>
      <c r="H1022" s="20">
        <f t="shared" ca="1" si="97"/>
        <v>0.13649572295675033</v>
      </c>
      <c r="I1022" s="20">
        <f t="shared" ca="1" si="95"/>
        <v>0.13562252169468753</v>
      </c>
      <c r="J1022" s="20">
        <f t="shared" ca="1" si="98"/>
        <v>0.14118523806002267</v>
      </c>
      <c r="K1022" s="36">
        <v>13.5</v>
      </c>
    </row>
    <row r="1023" spans="1:11" ht="15.75" customHeight="1" x14ac:dyDescent="0.25">
      <c r="A1023" s="13" t="s">
        <v>7</v>
      </c>
      <c r="B1023" s="29">
        <v>45587</v>
      </c>
      <c r="C1023" s="20">
        <v>0.13500000000000001</v>
      </c>
      <c r="D1023" s="30">
        <f t="shared" ca="1" si="93"/>
        <v>148.86696845361411</v>
      </c>
      <c r="E1023" s="31">
        <f t="shared" ref="E1023:E1028" si="99">+E1022*(1+C1022*F1023/365)</f>
        <v>148.86696845361411</v>
      </c>
      <c r="F1023" s="32">
        <f t="shared" ref="F1023:F1054" si="100">IF(A1022="Working day",1,(IF(A1021="Working day",2,(IF(A1020="Working day",3,IF(A1019="Working day",4,IF(A1018="Working day",5,6)))))))</f>
        <v>1</v>
      </c>
      <c r="G1023" s="20">
        <f t="shared" ca="1" si="94"/>
        <v>0.13448988876665949</v>
      </c>
      <c r="H1023" s="20">
        <f t="shared" ca="1" si="97"/>
        <v>0.13650339802201694</v>
      </c>
      <c r="I1023" s="20">
        <f t="shared" ca="1" si="95"/>
        <v>0.1356074276080545</v>
      </c>
      <c r="J1023" s="20">
        <f t="shared" ca="1" si="98"/>
        <v>0.14115553762983379</v>
      </c>
      <c r="K1023" s="36">
        <v>13.5</v>
      </c>
    </row>
    <row r="1024" spans="1:11" ht="15.75" customHeight="1" x14ac:dyDescent="0.25">
      <c r="A1024" s="13" t="s">
        <v>7</v>
      </c>
      <c r="B1024" s="29">
        <v>45588</v>
      </c>
      <c r="C1024" s="20">
        <v>0.13500000000000001</v>
      </c>
      <c r="D1024" s="30">
        <f t="shared" ca="1" si="93"/>
        <v>148.92202883920652</v>
      </c>
      <c r="E1024" s="31">
        <f t="shared" si="99"/>
        <v>148.92202883920652</v>
      </c>
      <c r="F1024" s="32">
        <f t="shared" si="100"/>
        <v>1</v>
      </c>
      <c r="G1024" s="20">
        <f t="shared" ca="1" si="94"/>
        <v>0.13475289825531828</v>
      </c>
      <c r="H1024" s="20">
        <f t="shared" ca="1" si="97"/>
        <v>0.13651274923760023</v>
      </c>
      <c r="I1024" s="20">
        <f t="shared" ca="1" si="95"/>
        <v>0.13559104800543154</v>
      </c>
      <c r="J1024" s="20">
        <f t="shared" ca="1" si="98"/>
        <v>0.1411258376063437</v>
      </c>
      <c r="K1024" s="36">
        <v>13.5</v>
      </c>
    </row>
    <row r="1025" spans="1:11" ht="15.75" customHeight="1" x14ac:dyDescent="0.25">
      <c r="A1025" s="13" t="s">
        <v>7</v>
      </c>
      <c r="B1025" s="29">
        <v>45588</v>
      </c>
      <c r="C1025" s="20">
        <v>0.13500000000000001</v>
      </c>
      <c r="D1025" s="30">
        <f t="shared" ca="1" si="93"/>
        <v>148.97710958959908</v>
      </c>
      <c r="E1025" s="31">
        <f t="shared" si="99"/>
        <v>148.97710958959908</v>
      </c>
      <c r="F1025" s="32">
        <f t="shared" si="100"/>
        <v>1</v>
      </c>
      <c r="G1025" s="20">
        <f t="shared" ca="1" si="94"/>
        <v>0.13475289825531828</v>
      </c>
      <c r="H1025" s="20">
        <f t="shared" ca="1" si="97"/>
        <v>0.13651274923760023</v>
      </c>
      <c r="I1025" s="20">
        <f t="shared" ca="1" si="95"/>
        <v>0.13559104800543154</v>
      </c>
      <c r="J1025" s="20">
        <f t="shared" ca="1" si="98"/>
        <v>0.14109613798954698</v>
      </c>
      <c r="K1025" s="36">
        <v>13.5</v>
      </c>
    </row>
    <row r="1026" spans="1:11" ht="15.75" customHeight="1" x14ac:dyDescent="0.25">
      <c r="A1026" s="13" t="s">
        <v>7</v>
      </c>
      <c r="B1026" s="29">
        <v>45589</v>
      </c>
      <c r="C1026" s="20">
        <v>0.13500000000000001</v>
      </c>
      <c r="D1026" s="30">
        <f t="shared" ca="1" si="93"/>
        <v>149.032210712324</v>
      </c>
      <c r="E1026" s="31">
        <f t="shared" si="99"/>
        <v>149.032210712324</v>
      </c>
      <c r="F1026" s="32">
        <f t="shared" si="100"/>
        <v>1</v>
      </c>
      <c r="G1026" s="20">
        <f t="shared" ca="1" si="94"/>
        <v>0.13475289825531828</v>
      </c>
      <c r="H1026" s="20">
        <f t="shared" ca="1" si="97"/>
        <v>0.13651274923760023</v>
      </c>
      <c r="I1026" s="20">
        <f t="shared" ca="1" si="95"/>
        <v>0.13559104800543242</v>
      </c>
      <c r="J1026" s="20">
        <f t="shared" ca="1" si="98"/>
        <v>0.1410667576142052</v>
      </c>
      <c r="K1026" s="36">
        <v>13.5</v>
      </c>
    </row>
    <row r="1027" spans="1:11" ht="15.75" customHeight="1" x14ac:dyDescent="0.25">
      <c r="A1027" s="13" t="s">
        <v>7</v>
      </c>
      <c r="B1027" s="29">
        <v>45590</v>
      </c>
      <c r="C1027" s="20">
        <v>0.13500000000000001</v>
      </c>
      <c r="D1027" s="30">
        <f t="shared" ref="D1027:D1090" ca="1" si="101">+IF(F1027=1,D1026*(1+C1026*F1027/365),OFFSET(D1026,-F1027+1,0)*(1+C1026*F1027/365))</f>
        <v>149.08733221491622</v>
      </c>
      <c r="E1027" s="31">
        <f t="shared" si="99"/>
        <v>149.08733221491622</v>
      </c>
      <c r="F1027" s="32">
        <f t="shared" si="100"/>
        <v>1</v>
      </c>
      <c r="G1027" s="20">
        <f t="shared" ca="1" si="94"/>
        <v>0.13487817525808046</v>
      </c>
      <c r="H1027" s="20">
        <f t="shared" ca="1" si="97"/>
        <v>0.13651274923760293</v>
      </c>
      <c r="I1027" s="20">
        <f t="shared" ca="1" si="95"/>
        <v>0.13559162092481974</v>
      </c>
      <c r="J1027" s="20">
        <f t="shared" ca="1" si="98"/>
        <v>0.1410376962230068</v>
      </c>
      <c r="K1027" s="36">
        <v>13.5</v>
      </c>
    </row>
    <row r="1028" spans="1:11" x14ac:dyDescent="0.25">
      <c r="A1028" s="23" t="s">
        <v>6</v>
      </c>
      <c r="B1028" s="24">
        <v>45591</v>
      </c>
      <c r="C1028" s="28">
        <v>0.13500000000000001</v>
      </c>
      <c r="D1028" s="25">
        <f t="shared" ca="1" si="101"/>
        <v>149.1424741049135</v>
      </c>
      <c r="E1028" s="26">
        <f t="shared" si="99"/>
        <v>149.1424741049135</v>
      </c>
      <c r="F1028" s="27">
        <f t="shared" si="100"/>
        <v>1</v>
      </c>
      <c r="G1028" s="28">
        <f t="shared" ca="1" si="94"/>
        <v>0.13501050651285612</v>
      </c>
      <c r="H1028" s="28">
        <f t="shared" ca="1" si="97"/>
        <v>0.13651274923760293</v>
      </c>
      <c r="I1028" s="28">
        <f t="shared" ca="1" si="95"/>
        <v>0.13559276634042111</v>
      </c>
      <c r="J1028" s="28">
        <f t="shared" ca="1" si="98"/>
        <v>0.14100799781316392</v>
      </c>
      <c r="K1028" s="36">
        <v>13.5</v>
      </c>
    </row>
    <row r="1029" spans="1:11" x14ac:dyDescent="0.25">
      <c r="A1029" s="23" t="s">
        <v>6</v>
      </c>
      <c r="B1029" s="24">
        <v>45592</v>
      </c>
      <c r="C1029" s="28">
        <v>0.13500000000000001</v>
      </c>
      <c r="D1029" s="25">
        <f t="shared" ca="1" si="101"/>
        <v>149.19761599491082</v>
      </c>
      <c r="E1029" s="26">
        <f>+E1027*(1+C1028*F1029/365)</f>
        <v>149.19761599491082</v>
      </c>
      <c r="F1029" s="27">
        <f t="shared" si="100"/>
        <v>2</v>
      </c>
      <c r="G1029" s="28">
        <f t="shared" ca="1" si="94"/>
        <v>0.13514274062031476</v>
      </c>
      <c r="H1029" s="28">
        <f t="shared" ca="1" si="97"/>
        <v>0.13651106742359387</v>
      </c>
      <c r="I1029" s="28">
        <f t="shared" ca="1" si="95"/>
        <v>0.13559219342087619</v>
      </c>
      <c r="J1029" s="28">
        <f t="shared" ca="1" si="98"/>
        <v>0.14094830616064333</v>
      </c>
      <c r="K1029" s="36">
        <v>13.5</v>
      </c>
    </row>
    <row r="1030" spans="1:11" ht="15.75" customHeight="1" x14ac:dyDescent="0.25">
      <c r="A1030" s="13" t="s">
        <v>7</v>
      </c>
      <c r="B1030" s="29">
        <v>45593</v>
      </c>
      <c r="C1030" s="20">
        <v>0.13500000000000001</v>
      </c>
      <c r="D1030" s="30">
        <f t="shared" ca="1" si="101"/>
        <v>149.25275788490811</v>
      </c>
      <c r="E1030" s="31">
        <f>+E1027*(1+C1029*F1030/365)</f>
        <v>149.25275788490811</v>
      </c>
      <c r="F1030" s="32">
        <f t="shared" si="100"/>
        <v>3</v>
      </c>
      <c r="G1030" s="20">
        <f t="shared" ca="1" si="94"/>
        <v>0.13512845335770479</v>
      </c>
      <c r="H1030" s="20">
        <f t="shared" ca="1" si="97"/>
        <v>0.13650938685274561</v>
      </c>
      <c r="I1030" s="20">
        <f t="shared" ca="1" si="95"/>
        <v>0.13559104800543154</v>
      </c>
      <c r="J1030" s="20">
        <f t="shared" ca="1" si="98"/>
        <v>0.14091801628318743</v>
      </c>
      <c r="K1030" s="36">
        <v>13.5</v>
      </c>
    </row>
    <row r="1031" spans="1:11" ht="15.75" customHeight="1" x14ac:dyDescent="0.25">
      <c r="A1031" s="13" t="s">
        <v>7</v>
      </c>
      <c r="B1031" s="29">
        <v>45594</v>
      </c>
      <c r="C1031" s="20">
        <v>0.13354199999999999</v>
      </c>
      <c r="D1031" s="30">
        <f t="shared" ca="1" si="101"/>
        <v>149.30796095974225</v>
      </c>
      <c r="E1031" s="31">
        <f>+E1030*(1+C1030*F1031/365)</f>
        <v>149.30796095974225</v>
      </c>
      <c r="F1031" s="32">
        <f t="shared" si="100"/>
        <v>1</v>
      </c>
      <c r="G1031" s="20">
        <f t="shared" ca="1" si="94"/>
        <v>0.13512845335771637</v>
      </c>
      <c r="H1031" s="20">
        <f t="shared" ca="1" si="97"/>
        <v>0.13651274923760293</v>
      </c>
      <c r="I1031" s="20">
        <f t="shared" ca="1" si="95"/>
        <v>0.13558777667879923</v>
      </c>
      <c r="J1031" s="20">
        <f t="shared" ca="1" si="98"/>
        <v>0.14088831951216652</v>
      </c>
      <c r="K1031" s="36">
        <v>13.5</v>
      </c>
    </row>
    <row r="1032" spans="1:11" ht="15.75" customHeight="1" x14ac:dyDescent="0.25">
      <c r="A1032" s="13" t="s">
        <v>7</v>
      </c>
      <c r="B1032" s="29">
        <v>45595</v>
      </c>
      <c r="C1032" s="20">
        <v>0.13220000000000001</v>
      </c>
      <c r="D1032" s="30">
        <f t="shared" ca="1" si="101"/>
        <v>149.36258803843398</v>
      </c>
      <c r="E1032" s="31">
        <f>+E1031*(1+C1031*F1032/365)</f>
        <v>149.36258803843398</v>
      </c>
      <c r="F1032" s="32">
        <f t="shared" si="100"/>
        <v>1</v>
      </c>
      <c r="G1032" s="20">
        <f t="shared" ca="1" si="94"/>
        <v>0.13491970507831591</v>
      </c>
      <c r="H1032" s="20">
        <f t="shared" ca="1" si="97"/>
        <v>0.13579053903264715</v>
      </c>
      <c r="I1032" s="20">
        <f t="shared" ca="1" si="95"/>
        <v>0.13557104126045202</v>
      </c>
      <c r="J1032" s="20">
        <f t="shared" ca="1" si="98"/>
        <v>0.140849963687945</v>
      </c>
      <c r="K1032" s="36">
        <v>13.5</v>
      </c>
    </row>
    <row r="1033" spans="1:11" ht="15.75" customHeight="1" x14ac:dyDescent="0.25">
      <c r="A1033" s="13" t="s">
        <v>7</v>
      </c>
      <c r="B1033" s="29">
        <v>45596</v>
      </c>
      <c r="C1033" s="20">
        <v>0.136458</v>
      </c>
      <c r="D1033" s="30">
        <f t="shared" ca="1" si="101"/>
        <v>149.41668594018378</v>
      </c>
      <c r="E1033" s="31">
        <f>+E1032*(1+C1032*F1033/365)</f>
        <v>149.41668594018378</v>
      </c>
      <c r="F1033" s="32">
        <f t="shared" si="100"/>
        <v>1</v>
      </c>
      <c r="G1033" s="20">
        <f t="shared" ref="G1033:G1096" ca="1" si="102">(D1033/OFFSET(D1033,-7,0)-1)*365/7</f>
        <v>0.1345188183510044</v>
      </c>
      <c r="H1033" s="20">
        <f t="shared" ca="1" si="97"/>
        <v>0.13502537369668396</v>
      </c>
      <c r="I1033" s="20">
        <f t="shared" ca="1" si="95"/>
        <v>0.13558350681956072</v>
      </c>
      <c r="J1033" s="20">
        <f t="shared" ca="1" si="98"/>
        <v>0.1408039569750032</v>
      </c>
      <c r="K1033" s="36">
        <v>13.5</v>
      </c>
    </row>
    <row r="1034" spans="1:11" x14ac:dyDescent="0.25">
      <c r="A1034" s="13" t="s">
        <v>7</v>
      </c>
      <c r="B1034" s="29">
        <v>45597</v>
      </c>
      <c r="C1034" s="20">
        <v>0.13309099999999999</v>
      </c>
      <c r="D1034" s="30">
        <f t="shared" ca="1" si="101"/>
        <v>149.4725464939647</v>
      </c>
      <c r="E1034" s="31">
        <f>+E1033*(1+C1033*F1034/365)</f>
        <v>149.4725464939647</v>
      </c>
      <c r="F1034" s="32">
        <f t="shared" si="100"/>
        <v>1</v>
      </c>
      <c r="G1034" s="20">
        <f t="shared" ca="1" si="102"/>
        <v>0.13472756419612192</v>
      </c>
      <c r="H1034" s="20">
        <f t="shared" ca="1" si="97"/>
        <v>0.13507449489020534</v>
      </c>
      <c r="I1034" s="20">
        <f t="shared" ca="1" si="95"/>
        <v>0.13564538808318541</v>
      </c>
      <c r="J1034" s="20">
        <f t="shared" ca="1" si="98"/>
        <v>0.14078355823073438</v>
      </c>
      <c r="K1034" s="36">
        <v>13.5</v>
      </c>
    </row>
    <row r="1035" spans="1:11" x14ac:dyDescent="0.25">
      <c r="A1035" s="23" t="s">
        <v>6</v>
      </c>
      <c r="B1035" s="24">
        <v>45598</v>
      </c>
      <c r="C1035" s="28">
        <v>0.13309099999999999</v>
      </c>
      <c r="D1035" s="25">
        <f t="shared" ca="1" si="101"/>
        <v>149.52704909858232</v>
      </c>
      <c r="E1035" s="26">
        <f>+E1034*(1+C1034*F1035/365)</f>
        <v>149.52704909858232</v>
      </c>
      <c r="F1035" s="27">
        <f t="shared" si="100"/>
        <v>1</v>
      </c>
      <c r="G1035" s="28">
        <f t="shared" ca="1" si="102"/>
        <v>0.13445424635695535</v>
      </c>
      <c r="H1035" s="28">
        <f t="shared" ca="1" si="97"/>
        <v>0.13501017888687139</v>
      </c>
      <c r="I1035" s="28">
        <f t="shared" ca="1" si="95"/>
        <v>0.13566916178981273</v>
      </c>
      <c r="J1035" s="28">
        <f t="shared" ca="1" si="98"/>
        <v>0.14074252577668808</v>
      </c>
      <c r="K1035" s="36">
        <v>13.5</v>
      </c>
    </row>
    <row r="1036" spans="1:11" x14ac:dyDescent="0.25">
      <c r="A1036" s="23" t="s">
        <v>6</v>
      </c>
      <c r="B1036" s="24">
        <v>45599</v>
      </c>
      <c r="C1036" s="28">
        <v>0.13309099999999999</v>
      </c>
      <c r="D1036" s="25">
        <f t="shared" ca="1" si="101"/>
        <v>149.58155170319992</v>
      </c>
      <c r="E1036" s="26">
        <f>+E1034*(1+C1035*F1036/365)</f>
        <v>149.58155170319992</v>
      </c>
      <c r="F1036" s="27">
        <f t="shared" si="100"/>
        <v>2</v>
      </c>
      <c r="G1036" s="28">
        <f t="shared" ca="1" si="102"/>
        <v>0.13418113054864925</v>
      </c>
      <c r="H1036" s="28">
        <f t="shared" ca="1" si="97"/>
        <v>0.13494422882476609</v>
      </c>
      <c r="I1036" s="28">
        <f t="shared" ca="1" si="95"/>
        <v>0.13566657322791412</v>
      </c>
      <c r="J1036" s="28">
        <f t="shared" ca="1" si="98"/>
        <v>0.14071003696711418</v>
      </c>
      <c r="K1036" s="36">
        <v>13.5</v>
      </c>
    </row>
    <row r="1037" spans="1:11" x14ac:dyDescent="0.25">
      <c r="A1037" s="13" t="s">
        <v>7</v>
      </c>
      <c r="B1037" s="29">
        <v>45600</v>
      </c>
      <c r="C1037" s="20">
        <v>0.12169099999999999</v>
      </c>
      <c r="D1037" s="30">
        <f t="shared" ca="1" si="101"/>
        <v>149.63605430781755</v>
      </c>
      <c r="E1037" s="31">
        <f>+E1034*(1+C1036*F1037/365)</f>
        <v>149.63605430781755</v>
      </c>
      <c r="F1037" s="32">
        <f t="shared" si="100"/>
        <v>3</v>
      </c>
      <c r="G1037" s="20">
        <f t="shared" ca="1" si="102"/>
        <v>0.13390821654730742</v>
      </c>
      <c r="H1037" s="20">
        <f t="shared" ca="1" si="97"/>
        <v>0.13487832751157453</v>
      </c>
      <c r="I1037" s="20">
        <f t="shared" ca="1" si="95"/>
        <v>0.13564354738485612</v>
      </c>
      <c r="J1037" s="20">
        <f t="shared" ca="1" si="98"/>
        <v>0.14066842991348716</v>
      </c>
      <c r="K1037" s="36">
        <v>13.5</v>
      </c>
    </row>
    <row r="1038" spans="1:11" x14ac:dyDescent="0.25">
      <c r="A1038" s="13" t="s">
        <v>7</v>
      </c>
      <c r="B1038" s="29">
        <v>45601</v>
      </c>
      <c r="C1038" s="20">
        <v>0.124538</v>
      </c>
      <c r="D1038" s="30">
        <f t="shared" ca="1" si="101"/>
        <v>149.68594296832376</v>
      </c>
      <c r="E1038" s="31">
        <f>+E1037*(1+C1037*F1038/365)</f>
        <v>149.68594296832376</v>
      </c>
      <c r="F1038" s="32">
        <f t="shared" si="100"/>
        <v>1</v>
      </c>
      <c r="G1038" s="20">
        <f t="shared" ca="1" si="102"/>
        <v>0.13200275289641247</v>
      </c>
      <c r="H1038" s="20">
        <f t="shared" ca="1" si="97"/>
        <v>0.13443330376572943</v>
      </c>
      <c r="I1038" s="20">
        <f t="shared" ca="1" si="95"/>
        <v>0.13589255121871494</v>
      </c>
      <c r="J1038" s="20">
        <f t="shared" ca="1" si="98"/>
        <v>0.14056001755249981</v>
      </c>
      <c r="K1038" s="36">
        <v>13.5</v>
      </c>
    </row>
    <row r="1039" spans="1:11" x14ac:dyDescent="0.25">
      <c r="A1039" s="13" t="s">
        <v>7</v>
      </c>
      <c r="B1039" s="29">
        <v>45602</v>
      </c>
      <c r="C1039" s="20">
        <v>0.12261900000000001</v>
      </c>
      <c r="D1039" s="30">
        <f t="shared" ca="1" si="101"/>
        <v>149.73701581206456</v>
      </c>
      <c r="E1039" s="31">
        <f>+E1038*(1+C1038*F1039/365)</f>
        <v>149.73701581206456</v>
      </c>
      <c r="F1039" s="32">
        <f t="shared" si="100"/>
        <v>1</v>
      </c>
      <c r="G1039" s="20">
        <f t="shared" ca="1" si="102"/>
        <v>0.13071368250336915</v>
      </c>
      <c r="H1039" s="20">
        <f t="shared" ca="1" si="97"/>
        <v>0.13408084752929619</v>
      </c>
      <c r="I1039" s="20">
        <f t="shared" ca="1" si="95"/>
        <v>0.13588739692835652</v>
      </c>
      <c r="J1039" s="20">
        <f t="shared" ca="1" si="98"/>
        <v>0.14046819841739733</v>
      </c>
      <c r="K1039" s="36">
        <v>13.5</v>
      </c>
    </row>
    <row r="1040" spans="1:11" x14ac:dyDescent="0.25">
      <c r="A1040" s="13" t="s">
        <v>7</v>
      </c>
      <c r="B1040" s="29">
        <v>45603</v>
      </c>
      <c r="C1040" s="20">
        <v>0.12767899999999999</v>
      </c>
      <c r="D1040" s="30">
        <f t="shared" ca="1" si="101"/>
        <v>149.78731883437101</v>
      </c>
      <c r="E1040" s="31">
        <f>+E1039*(1+C1039*F1040/365)</f>
        <v>149.78731883437101</v>
      </c>
      <c r="F1040" s="32">
        <f t="shared" si="100"/>
        <v>1</v>
      </c>
      <c r="G1040" s="20">
        <f t="shared" ca="1" si="102"/>
        <v>0.12934203387287219</v>
      </c>
      <c r="H1040" s="20">
        <f t="shared" ca="1" si="97"/>
        <v>0.13368443760037702</v>
      </c>
      <c r="I1040" s="20">
        <f t="shared" ca="1" si="95"/>
        <v>0.13575730323884799</v>
      </c>
      <c r="J1040" s="20">
        <f t="shared" ca="1" si="98"/>
        <v>0.14036530664536978</v>
      </c>
      <c r="K1040" s="36">
        <v>13.5</v>
      </c>
    </row>
    <row r="1041" spans="1:11" x14ac:dyDescent="0.25">
      <c r="A1041" s="13" t="s">
        <v>7</v>
      </c>
      <c r="B1041" s="29">
        <v>45604</v>
      </c>
      <c r="C1041" s="20">
        <v>0.13</v>
      </c>
      <c r="D1041" s="30">
        <f t="shared" ca="1" si="101"/>
        <v>149.83971525925168</v>
      </c>
      <c r="E1041" s="31">
        <f>+E1040*(1+C1040*F1041/365)</f>
        <v>149.83971525925168</v>
      </c>
      <c r="F1041" s="32">
        <f t="shared" si="100"/>
        <v>1</v>
      </c>
      <c r="G1041" s="20">
        <f t="shared" ca="1" si="102"/>
        <v>0.12808524993217718</v>
      </c>
      <c r="H1041" s="20">
        <f t="shared" ca="1" si="97"/>
        <v>0.13357917853911386</v>
      </c>
      <c r="I1041" s="20">
        <f t="shared" ca="1" si="95"/>
        <v>0.13568586057353546</v>
      </c>
      <c r="J1041" s="20">
        <f t="shared" ca="1" si="98"/>
        <v>0.14029278371008813</v>
      </c>
      <c r="K1041" s="36">
        <v>13.5</v>
      </c>
    </row>
    <row r="1042" spans="1:11" x14ac:dyDescent="0.25">
      <c r="A1042" s="23" t="s">
        <v>6</v>
      </c>
      <c r="B1042" s="24">
        <v>45605</v>
      </c>
      <c r="C1042" s="28">
        <v>0.13</v>
      </c>
      <c r="D1042" s="25">
        <f t="shared" ca="1" si="101"/>
        <v>149.89308282907004</v>
      </c>
      <c r="E1042" s="26">
        <f>+E1041*(1+C1041*F1042/365)</f>
        <v>149.89308282907004</v>
      </c>
      <c r="F1042" s="27">
        <f t="shared" si="100"/>
        <v>1</v>
      </c>
      <c r="G1042" s="28">
        <f t="shared" ca="1" si="102"/>
        <v>0.12764275516267337</v>
      </c>
      <c r="H1042" s="28">
        <f t="shared" ca="1" si="97"/>
        <v>0.13357917853911386</v>
      </c>
      <c r="I1042" s="28">
        <f t="shared" ca="1" si="95"/>
        <v>0.13564162470961769</v>
      </c>
      <c r="J1042" s="28">
        <f t="shared" ca="1" si="98"/>
        <v>0.14023340729113937</v>
      </c>
      <c r="K1042" s="36">
        <v>13.5</v>
      </c>
    </row>
    <row r="1043" spans="1:11" x14ac:dyDescent="0.25">
      <c r="A1043" s="23" t="s">
        <v>6</v>
      </c>
      <c r="B1043" s="24">
        <v>45606</v>
      </c>
      <c r="C1043" s="28">
        <v>0.13</v>
      </c>
      <c r="D1043" s="25">
        <f t="shared" ca="1" si="101"/>
        <v>149.9464503988884</v>
      </c>
      <c r="E1043" s="26">
        <f>+E1041*(1+C1042*F1043/365)</f>
        <v>149.9464503988884</v>
      </c>
      <c r="F1043" s="27">
        <f t="shared" si="100"/>
        <v>2</v>
      </c>
      <c r="G1043" s="28">
        <f t="shared" ca="1" si="102"/>
        <v>0.12720058285431102</v>
      </c>
      <c r="H1043" s="28">
        <f t="shared" ca="1" si="97"/>
        <v>0.13340918512657454</v>
      </c>
      <c r="I1043" s="28">
        <f t="shared" ca="1" si="95"/>
        <v>0.13558370099652492</v>
      </c>
      <c r="J1043" s="28">
        <f t="shared" ca="1" si="98"/>
        <v>0.14017375768277318</v>
      </c>
      <c r="K1043" s="36">
        <v>13.5</v>
      </c>
    </row>
    <row r="1044" spans="1:11" x14ac:dyDescent="0.25">
      <c r="A1044" s="13" t="s">
        <v>7</v>
      </c>
      <c r="B1044" s="29">
        <v>45607</v>
      </c>
      <c r="C1044" s="20">
        <v>0.133905</v>
      </c>
      <c r="D1044" s="30">
        <f t="shared" ca="1" si="101"/>
        <v>149.99981796870679</v>
      </c>
      <c r="E1044" s="31">
        <f>+E1041*(1+C1043*F1044/365)</f>
        <v>149.99981796870679</v>
      </c>
      <c r="F1044" s="32">
        <f t="shared" si="100"/>
        <v>3</v>
      </c>
      <c r="G1044" s="20">
        <f t="shared" ca="1" si="102"/>
        <v>0.12675873265471244</v>
      </c>
      <c r="H1044" s="20">
        <f t="shared" ca="1" si="97"/>
        <v>0.1332393173696316</v>
      </c>
      <c r="I1044" s="20">
        <f t="shared" ca="1" si="95"/>
        <v>0.13554260225063633</v>
      </c>
      <c r="J1044" s="20">
        <f t="shared" ca="1" si="98"/>
        <v>0.14011383510320893</v>
      </c>
      <c r="K1044" s="36">
        <v>13.5</v>
      </c>
    </row>
    <row r="1045" spans="1:11" x14ac:dyDescent="0.25">
      <c r="A1045" s="13" t="s">
        <v>7</v>
      </c>
      <c r="B1045" s="29">
        <v>45608</v>
      </c>
      <c r="C1045" s="20">
        <v>0.133052</v>
      </c>
      <c r="D1045" s="30">
        <f t="shared" ca="1" si="101"/>
        <v>150.05484735398105</v>
      </c>
      <c r="E1045" s="31">
        <f>+E1044*(1+C1044*F1045/365)</f>
        <v>150.05484735398105</v>
      </c>
      <c r="F1045" s="32">
        <f t="shared" si="100"/>
        <v>1</v>
      </c>
      <c r="G1045" s="20">
        <f t="shared" ca="1" si="102"/>
        <v>0.12850724857157325</v>
      </c>
      <c r="H1045" s="20">
        <f t="shared" ca="1" si="97"/>
        <v>0.13320579277556407</v>
      </c>
      <c r="I1045" s="20">
        <f t="shared" ca="1" si="95"/>
        <v>0.13555797168342829</v>
      </c>
      <c r="J1045" s="20">
        <f t="shared" ca="1" si="98"/>
        <v>0.14007764816291043</v>
      </c>
      <c r="K1045" s="36">
        <v>13.5</v>
      </c>
    </row>
    <row r="1046" spans="1:11" x14ac:dyDescent="0.25">
      <c r="A1046" s="13" t="s">
        <v>7</v>
      </c>
      <c r="B1046" s="29">
        <v>45609</v>
      </c>
      <c r="C1046" s="20">
        <v>0.13112499999999999</v>
      </c>
      <c r="D1046" s="30">
        <f t="shared" ca="1" si="101"/>
        <v>150.1095462513787</v>
      </c>
      <c r="E1046" s="31">
        <f>+E1045*(1+C1045*F1046/365)</f>
        <v>150.1095462513787</v>
      </c>
      <c r="F1046" s="32">
        <f t="shared" si="100"/>
        <v>1</v>
      </c>
      <c r="G1046" s="20">
        <f t="shared" ca="1" si="102"/>
        <v>0.12972611597190906</v>
      </c>
      <c r="H1046" s="20">
        <f t="shared" ca="1" si="97"/>
        <v>0.13319686599169986</v>
      </c>
      <c r="I1046" s="20">
        <f t="shared" ca="1" si="95"/>
        <v>0.13554094940597919</v>
      </c>
      <c r="J1046" s="20">
        <f t="shared" ca="1" si="98"/>
        <v>0.1400363975206925</v>
      </c>
      <c r="K1046" s="36">
        <v>13.5</v>
      </c>
    </row>
    <row r="1047" spans="1:11" x14ac:dyDescent="0.25">
      <c r="A1047" s="13" t="s">
        <v>7</v>
      </c>
      <c r="B1047" s="29">
        <v>45610</v>
      </c>
      <c r="C1047" s="20">
        <v>0.13115199999999999</v>
      </c>
      <c r="D1047" s="30">
        <f t="shared" ca="1" si="101"/>
        <v>150.16347259179571</v>
      </c>
      <c r="E1047" s="31">
        <f>+E1046*(1+C1046*F1047/365)</f>
        <v>150.16347259179571</v>
      </c>
      <c r="F1047" s="32">
        <f t="shared" si="100"/>
        <v>1</v>
      </c>
      <c r="G1047" s="20">
        <f t="shared" ca="1" si="102"/>
        <v>0.13094387288441842</v>
      </c>
      <c r="H1047" s="20">
        <f t="shared" ca="1" si="97"/>
        <v>0.13312821399177366</v>
      </c>
      <c r="I1047" s="20">
        <f t="shared" ca="1" si="95"/>
        <v>0.13550886771186693</v>
      </c>
      <c r="J1047" s="20">
        <f t="shared" ca="1" si="98"/>
        <v>0.13998402585613096</v>
      </c>
      <c r="K1047" s="36">
        <v>13.5</v>
      </c>
    </row>
    <row r="1048" spans="1:11" x14ac:dyDescent="0.25">
      <c r="A1048" s="13" t="s">
        <v>7</v>
      </c>
      <c r="B1048" s="29">
        <v>45611</v>
      </c>
      <c r="C1048" s="20">
        <v>0.13184699999999999</v>
      </c>
      <c r="D1048" s="30">
        <f t="shared" ca="1" si="101"/>
        <v>150.21742941304876</v>
      </c>
      <c r="E1048" s="31">
        <f>+E1047*(1+C1047*F1048/365)</f>
        <v>150.21742941304876</v>
      </c>
      <c r="F1048" s="32">
        <f t="shared" si="100"/>
        <v>1</v>
      </c>
      <c r="G1048" s="20">
        <f t="shared" ca="1" si="102"/>
        <v>0.13144108775299987</v>
      </c>
      <c r="H1048" s="20">
        <f t="shared" ca="1" si="97"/>
        <v>0.13299859176793882</v>
      </c>
      <c r="I1048" s="20">
        <f t="shared" ca="1" si="95"/>
        <v>0.13547765995091918</v>
      </c>
      <c r="J1048" s="20">
        <f t="shared" ca="1" si="98"/>
        <v>0.13993213417407169</v>
      </c>
      <c r="K1048" s="36">
        <v>13.5</v>
      </c>
    </row>
    <row r="1049" spans="1:11" x14ac:dyDescent="0.25">
      <c r="A1049" s="23" t="s">
        <v>6</v>
      </c>
      <c r="B1049" s="24">
        <v>45612</v>
      </c>
      <c r="C1049" s="28">
        <v>0.13184699999999999</v>
      </c>
      <c r="D1049" s="25">
        <f t="shared" ca="1" si="101"/>
        <v>150.27169165254415</v>
      </c>
      <c r="E1049" s="26">
        <f>+E1048*(1+C1048*F1049/365)</f>
        <v>150.27169165254415</v>
      </c>
      <c r="F1049" s="27">
        <f t="shared" si="100"/>
        <v>1</v>
      </c>
      <c r="G1049" s="28">
        <f t="shared" ca="1" si="102"/>
        <v>0.13170551584390652</v>
      </c>
      <c r="H1049" s="28">
        <f t="shared" ca="1" si="97"/>
        <v>0.13289238216173885</v>
      </c>
      <c r="I1049" s="28">
        <f t="shared" ca="1" si="95"/>
        <v>0.13545499304404829</v>
      </c>
      <c r="J1049" s="28">
        <f t="shared" ca="1" si="98"/>
        <v>0.13988373263243786</v>
      </c>
      <c r="K1049" s="36">
        <v>13.5</v>
      </c>
    </row>
    <row r="1050" spans="1:11" x14ac:dyDescent="0.25">
      <c r="A1050" s="23" t="s">
        <v>6</v>
      </c>
      <c r="B1050" s="24">
        <v>45613</v>
      </c>
      <c r="C1050" s="28">
        <v>0.13184699999999999</v>
      </c>
      <c r="D1050" s="25">
        <f t="shared" ca="1" si="101"/>
        <v>150.32595389203959</v>
      </c>
      <c r="E1050" s="26">
        <f>+E1048*(1+C1049*F1050/365)</f>
        <v>150.32595389203959</v>
      </c>
      <c r="F1050" s="27">
        <f t="shared" si="100"/>
        <v>2</v>
      </c>
      <c r="G1050" s="28">
        <f t="shared" ca="1" si="102"/>
        <v>0.13196975570916783</v>
      </c>
      <c r="H1050" s="28">
        <f t="shared" ca="1" si="97"/>
        <v>0.13281404391396923</v>
      </c>
      <c r="I1050" s="28">
        <f t="shared" ca="1" si="95"/>
        <v>0.13542215901155844</v>
      </c>
      <c r="J1050" s="28">
        <f t="shared" ca="1" si="98"/>
        <v>0.13982860264001953</v>
      </c>
      <c r="K1050" s="36">
        <v>13.5</v>
      </c>
    </row>
    <row r="1051" spans="1:11" x14ac:dyDescent="0.25">
      <c r="A1051" s="13" t="s">
        <v>7</v>
      </c>
      <c r="B1051" s="29">
        <v>45614</v>
      </c>
      <c r="C1051" s="20">
        <v>0.132216</v>
      </c>
      <c r="D1051" s="30">
        <f t="shared" ca="1" si="101"/>
        <v>150.38021613153498</v>
      </c>
      <c r="E1051" s="31">
        <f>+E1048*(1+C1050*F1051/365)</f>
        <v>150.38021613153498</v>
      </c>
      <c r="F1051" s="32">
        <f t="shared" si="100"/>
        <v>3</v>
      </c>
      <c r="G1051" s="20">
        <f t="shared" ca="1" si="102"/>
        <v>0.13223380754963956</v>
      </c>
      <c r="H1051" s="20">
        <f t="shared" ca="1" si="97"/>
        <v>0.13273576319716138</v>
      </c>
      <c r="I1051" s="20">
        <f t="shared" ca="1" si="95"/>
        <v>0.13538533583886839</v>
      </c>
      <c r="J1051" s="20">
        <f t="shared" ca="1" si="98"/>
        <v>0.13977963836252211</v>
      </c>
      <c r="K1051" s="36">
        <v>13.5</v>
      </c>
    </row>
    <row r="1052" spans="1:11" x14ac:dyDescent="0.25">
      <c r="A1052" s="13" t="s">
        <v>7</v>
      </c>
      <c r="B1052" s="29">
        <v>45615</v>
      </c>
      <c r="C1052" s="20">
        <v>0.131878</v>
      </c>
      <c r="D1052" s="30">
        <f t="shared" ca="1" si="101"/>
        <v>150.43468920182551</v>
      </c>
      <c r="E1052" s="31">
        <f t="shared" ref="E1052:E1057" si="103">+E1051*(1+C1051*F1052/365)</f>
        <v>150.43468920182551</v>
      </c>
      <c r="F1052" s="32">
        <f t="shared" si="100"/>
        <v>1</v>
      </c>
      <c r="G1052" s="20">
        <f t="shared" ca="1" si="102"/>
        <v>0.1319919986477347</v>
      </c>
      <c r="H1052" s="20">
        <f t="shared" ca="1" si="97"/>
        <v>0.13267477719523574</v>
      </c>
      <c r="I1052" s="20">
        <f t="shared" ref="I1052:I1115" ca="1" si="104">($D1052/OFFSET($D1052,-90,0)-1)*365/90</f>
        <v>0.13540052111873785</v>
      </c>
      <c r="J1052" s="20">
        <f t="shared" ca="1" si="98"/>
        <v>0.13973343069716862</v>
      </c>
      <c r="K1052" s="36">
        <v>13.5</v>
      </c>
    </row>
    <row r="1053" spans="1:11" x14ac:dyDescent="0.25">
      <c r="A1053" s="13" t="s">
        <v>7</v>
      </c>
      <c r="B1053" s="29">
        <v>45616</v>
      </c>
      <c r="C1053" s="20">
        <v>0.13164400000000001</v>
      </c>
      <c r="D1053" s="30">
        <f t="shared" ca="1" si="101"/>
        <v>150.48904269755855</v>
      </c>
      <c r="E1053" s="31">
        <f t="shared" si="103"/>
        <v>150.48904269755855</v>
      </c>
      <c r="F1053" s="32">
        <f t="shared" si="100"/>
        <v>1</v>
      </c>
      <c r="G1053" s="20">
        <f t="shared" ca="1" si="102"/>
        <v>0.13182392108653099</v>
      </c>
      <c r="H1053" s="20">
        <f t="shared" ca="1" si="97"/>
        <v>0.13256961460061312</v>
      </c>
      <c r="I1053" s="20">
        <f t="shared" ca="1" si="104"/>
        <v>0.13537852953106519</v>
      </c>
      <c r="J1053" s="20">
        <f t="shared" ca="1" si="98"/>
        <v>0.13968521761167979</v>
      </c>
      <c r="K1053" s="36">
        <v>13.5</v>
      </c>
    </row>
    <row r="1054" spans="1:11" x14ac:dyDescent="0.25">
      <c r="A1054" s="13" t="s">
        <v>7</v>
      </c>
      <c r="B1054" s="29">
        <v>45617</v>
      </c>
      <c r="C1054" s="20">
        <v>0.13174739999999999</v>
      </c>
      <c r="D1054" s="30">
        <f t="shared" ca="1" si="101"/>
        <v>150.54331935382396</v>
      </c>
      <c r="E1054" s="31">
        <f t="shared" si="103"/>
        <v>150.54331935382396</v>
      </c>
      <c r="F1054" s="32">
        <f t="shared" si="100"/>
        <v>1</v>
      </c>
      <c r="G1054" s="20">
        <f t="shared" ca="1" si="102"/>
        <v>0.13189822469314519</v>
      </c>
      <c r="H1054" s="20">
        <f t="shared" ca="1" si="97"/>
        <v>0.13245657083061155</v>
      </c>
      <c r="I1054" s="20">
        <f t="shared" ca="1" si="104"/>
        <v>0.13539739923674757</v>
      </c>
      <c r="J1054" s="20">
        <f t="shared" ca="1" si="98"/>
        <v>0.13963593520420151</v>
      </c>
      <c r="K1054" s="36">
        <v>13.5</v>
      </c>
    </row>
    <row r="1055" spans="1:11" x14ac:dyDescent="0.25">
      <c r="A1055" s="13" t="s">
        <v>7</v>
      </c>
      <c r="B1055" s="29">
        <v>45618</v>
      </c>
      <c r="C1055" s="20">
        <v>0.131434</v>
      </c>
      <c r="D1055" s="30">
        <f t="shared" ca="1" si="101"/>
        <v>150.59765823303556</v>
      </c>
      <c r="E1055" s="31">
        <f t="shared" si="103"/>
        <v>150.59765823303556</v>
      </c>
      <c r="F1055" s="32">
        <f t="shared" ref="F1055:F1077" si="105">IF(A1054="Working day",1,(IF(A1053="Working day",2,(IF(A1052="Working day",3,IF(A1051="Working day",4,IF(A1050="Working day",5,6)))))))</f>
        <v>1</v>
      </c>
      <c r="G1055" s="20">
        <f t="shared" ca="1" si="102"/>
        <v>0.13198346636363656</v>
      </c>
      <c r="H1055" s="20">
        <f t="shared" ca="1" si="97"/>
        <v>0.13234701100139426</v>
      </c>
      <c r="I1055" s="20">
        <f t="shared" ca="1" si="104"/>
        <v>0.13541798710934302</v>
      </c>
      <c r="J1055" s="20">
        <f t="shared" ca="1" si="98"/>
        <v>0.13958758605666532</v>
      </c>
      <c r="K1055" s="36">
        <v>13.5</v>
      </c>
    </row>
    <row r="1056" spans="1:11" x14ac:dyDescent="0.25">
      <c r="A1056" s="23" t="s">
        <v>6</v>
      </c>
      <c r="B1056" s="24">
        <v>45619</v>
      </c>
      <c r="C1056" s="28">
        <v>0.131434</v>
      </c>
      <c r="D1056" s="25">
        <f t="shared" ca="1" si="101"/>
        <v>150.65188741827444</v>
      </c>
      <c r="E1056" s="26">
        <f t="shared" si="103"/>
        <v>150.65188741827444</v>
      </c>
      <c r="F1056" s="27">
        <f t="shared" si="105"/>
        <v>1</v>
      </c>
      <c r="G1056" s="28">
        <f t="shared" ca="1" si="102"/>
        <v>0.13192433838192558</v>
      </c>
      <c r="H1056" s="28">
        <f t="shared" ref="H1056:H1119" ca="1" si="106">($D1056/OFFSET($D1056,-30,0)-1)*365/30</f>
        <v>0.13222689574874694</v>
      </c>
      <c r="I1056" s="28">
        <f t="shared" ca="1" si="104"/>
        <v>0.13543550875111082</v>
      </c>
      <c r="J1056" s="28">
        <f t="shared" ca="1" si="98"/>
        <v>0.13953545274155943</v>
      </c>
      <c r="K1056" s="36">
        <v>13.5</v>
      </c>
    </row>
    <row r="1057" spans="1:11" x14ac:dyDescent="0.25">
      <c r="A1057" s="23" t="s">
        <v>6</v>
      </c>
      <c r="B1057" s="24">
        <v>45620</v>
      </c>
      <c r="C1057" s="28">
        <v>0.131434</v>
      </c>
      <c r="D1057" s="25">
        <f t="shared" ca="1" si="101"/>
        <v>150.70611660351338</v>
      </c>
      <c r="E1057" s="26">
        <f t="shared" si="103"/>
        <v>150.76038484386862</v>
      </c>
      <c r="F1057" s="27">
        <f t="shared" si="105"/>
        <v>2</v>
      </c>
      <c r="G1057" s="28">
        <f t="shared" ca="1" si="102"/>
        <v>0.13186525308634131</v>
      </c>
      <c r="H1057" s="28">
        <f t="shared" ca="1" si="106"/>
        <v>0.13210518807107019</v>
      </c>
      <c r="I1057" s="28">
        <f t="shared" ca="1" si="104"/>
        <v>0.1353940354440191</v>
      </c>
      <c r="J1057" s="28">
        <f t="shared" ca="1" si="98"/>
        <v>0.1394843278473909</v>
      </c>
      <c r="K1057" s="36">
        <v>13.5</v>
      </c>
    </row>
    <row r="1058" spans="1:11" ht="15.75" customHeight="1" x14ac:dyDescent="0.25">
      <c r="A1058" s="13" t="s">
        <v>7</v>
      </c>
      <c r="B1058" s="29">
        <v>45621</v>
      </c>
      <c r="C1058" s="20">
        <v>0.13</v>
      </c>
      <c r="D1058" s="30">
        <f t="shared" ca="1" si="101"/>
        <v>150.76034578875229</v>
      </c>
      <c r="E1058" s="31">
        <f>+E1055*(1+C1057*F1058/365)</f>
        <v>150.76034578875229</v>
      </c>
      <c r="F1058" s="32">
        <f t="shared" si="105"/>
        <v>3</v>
      </c>
      <c r="G1058" s="20">
        <f t="shared" ca="1" si="102"/>
        <v>0.13180621043068735</v>
      </c>
      <c r="H1058" s="20">
        <f t="shared" ca="1" si="106"/>
        <v>0.13198188916229459</v>
      </c>
      <c r="I1058" s="20">
        <f t="shared" ca="1" si="104"/>
        <v>0.13545146500159169</v>
      </c>
      <c r="J1058" s="20">
        <f t="shared" ca="1" si="98"/>
        <v>0.13943234782494007</v>
      </c>
      <c r="K1058" s="36">
        <v>13.5</v>
      </c>
    </row>
    <row r="1059" spans="1:11" ht="15.75" customHeight="1" x14ac:dyDescent="0.25">
      <c r="A1059" s="13" t="s">
        <v>7</v>
      </c>
      <c r="B1059" s="29">
        <v>45622</v>
      </c>
      <c r="C1059" s="20">
        <v>0.13</v>
      </c>
      <c r="D1059" s="30">
        <f t="shared" ca="1" si="101"/>
        <v>150.8140412543757</v>
      </c>
      <c r="E1059" s="31">
        <f t="shared" ref="E1059:E1064" si="107">+E1058*(1+C1058*F1059/365)</f>
        <v>150.8140412543757</v>
      </c>
      <c r="F1059" s="32">
        <f t="shared" si="105"/>
        <v>1</v>
      </c>
      <c r="G1059" s="20">
        <f t="shared" ca="1" si="102"/>
        <v>0.13148895369761177</v>
      </c>
      <c r="H1059" s="20">
        <f t="shared" ca="1" si="106"/>
        <v>0.1318151579859044</v>
      </c>
      <c r="I1059" s="20">
        <f t="shared" ca="1" si="104"/>
        <v>0.13545146500159169</v>
      </c>
      <c r="J1059" s="20">
        <f t="shared" ca="1" si="98"/>
        <v>0.13937299497053873</v>
      </c>
      <c r="K1059" s="36">
        <v>13.5</v>
      </c>
    </row>
    <row r="1060" spans="1:11" ht="15.75" customHeight="1" x14ac:dyDescent="0.25">
      <c r="A1060" s="13" t="s">
        <v>7</v>
      </c>
      <c r="B1060" s="29">
        <v>45623</v>
      </c>
      <c r="C1060" s="20">
        <v>0.12972500000000001</v>
      </c>
      <c r="D1060" s="30">
        <f t="shared" ca="1" si="101"/>
        <v>150.8677558444115</v>
      </c>
      <c r="E1060" s="31">
        <f t="shared" si="107"/>
        <v>150.8677558444115</v>
      </c>
      <c r="F1060" s="32">
        <f t="shared" si="105"/>
        <v>1</v>
      </c>
      <c r="G1060" s="20">
        <f t="shared" ca="1" si="102"/>
        <v>0.13122008858918424</v>
      </c>
      <c r="H1060" s="20">
        <f t="shared" ca="1" si="106"/>
        <v>0.13165010897672297</v>
      </c>
      <c r="I1060" s="20">
        <f t="shared" ca="1" si="104"/>
        <v>0.13541333502417446</v>
      </c>
      <c r="J1060" s="20">
        <f t="shared" ca="1" si="98"/>
        <v>0.13931242707543179</v>
      </c>
      <c r="K1060" s="36">
        <v>13.5</v>
      </c>
    </row>
    <row r="1061" spans="1:11" ht="15.75" customHeight="1" x14ac:dyDescent="0.25">
      <c r="A1061" s="13" t="s">
        <v>7</v>
      </c>
      <c r="B1061" s="29">
        <v>45624</v>
      </c>
      <c r="C1061" s="20">
        <v>0.13322800000000001</v>
      </c>
      <c r="D1061" s="30">
        <f t="shared" ca="1" si="101"/>
        <v>150.92137589818387</v>
      </c>
      <c r="E1061" s="31">
        <f t="shared" si="107"/>
        <v>150.92137589818387</v>
      </c>
      <c r="F1061" s="32">
        <f t="shared" si="105"/>
        <v>1</v>
      </c>
      <c r="G1061" s="20">
        <f t="shared" ca="1" si="102"/>
        <v>0.13094535492571208</v>
      </c>
      <c r="H1061" s="20">
        <f t="shared" ca="1" si="106"/>
        <v>0.13147243874244963</v>
      </c>
      <c r="I1061" s="20">
        <f t="shared" ca="1" si="104"/>
        <v>0.13535278930574782</v>
      </c>
      <c r="J1061" s="20">
        <f t="shared" ca="1" si="98"/>
        <v>0.13925054826186675</v>
      </c>
      <c r="K1061" s="36">
        <v>13.5</v>
      </c>
    </row>
    <row r="1062" spans="1:11" x14ac:dyDescent="0.25">
      <c r="A1062" s="13" t="s">
        <v>7</v>
      </c>
      <c r="B1062" s="29">
        <v>45625</v>
      </c>
      <c r="C1062" s="20">
        <v>0.13544300000000001</v>
      </c>
      <c r="D1062" s="30">
        <f t="shared" ca="1" si="101"/>
        <v>150.9764634408364</v>
      </c>
      <c r="E1062" s="31">
        <f t="shared" si="107"/>
        <v>150.9764634408364</v>
      </c>
      <c r="F1062" s="32">
        <f t="shared" si="105"/>
        <v>1</v>
      </c>
      <c r="G1062" s="20">
        <f t="shared" ca="1" si="102"/>
        <v>0.13115732387262966</v>
      </c>
      <c r="H1062" s="20">
        <f t="shared" ca="1" si="106"/>
        <v>0.13146186284285774</v>
      </c>
      <c r="I1062" s="20">
        <f t="shared" ca="1" si="104"/>
        <v>0.13533302371336897</v>
      </c>
      <c r="J1062" s="20">
        <f t="shared" ca="1" si="98"/>
        <v>0.13920978001718118</v>
      </c>
      <c r="K1062" s="36">
        <v>13.5</v>
      </c>
    </row>
    <row r="1063" spans="1:11" x14ac:dyDescent="0.25">
      <c r="A1063" s="23" t="s">
        <v>6</v>
      </c>
      <c r="B1063" s="24">
        <v>45626</v>
      </c>
      <c r="C1063" s="28">
        <v>0.13544300000000001</v>
      </c>
      <c r="D1063" s="25">
        <f t="shared" ca="1" si="101"/>
        <v>151.03248729052905</v>
      </c>
      <c r="E1063" s="26">
        <f t="shared" si="107"/>
        <v>151.03248729052905</v>
      </c>
      <c r="F1063" s="27">
        <f t="shared" si="105"/>
        <v>1</v>
      </c>
      <c r="G1063" s="28">
        <f t="shared" ca="1" si="102"/>
        <v>0.13173127205809337</v>
      </c>
      <c r="H1063" s="28">
        <f t="shared" ca="1" si="106"/>
        <v>0.13157109131085204</v>
      </c>
      <c r="I1063" s="28">
        <f t="shared" ca="1" si="104"/>
        <v>0.13533925365481086</v>
      </c>
      <c r="J1063" s="28">
        <f t="shared" ca="1" si="98"/>
        <v>0.13918273569910911</v>
      </c>
      <c r="K1063" s="36">
        <v>13.5</v>
      </c>
    </row>
    <row r="1064" spans="1:11" x14ac:dyDescent="0.25">
      <c r="A1064" s="23" t="s">
        <v>6</v>
      </c>
      <c r="B1064" s="24">
        <v>45627</v>
      </c>
      <c r="C1064" s="28">
        <v>0.13544300000000001</v>
      </c>
      <c r="D1064" s="25">
        <f t="shared" ca="1" si="101"/>
        <v>151.08851114022167</v>
      </c>
      <c r="E1064" s="26">
        <f t="shared" si="107"/>
        <v>151.14457656820625</v>
      </c>
      <c r="F1064" s="27">
        <f t="shared" si="105"/>
        <v>2</v>
      </c>
      <c r="G1064" s="28">
        <f t="shared" ca="1" si="102"/>
        <v>0.13230480719138379</v>
      </c>
      <c r="H1064" s="28">
        <f t="shared" ca="1" si="106"/>
        <v>0.13153521270155369</v>
      </c>
      <c r="I1064" s="28">
        <f t="shared" ca="1" si="104"/>
        <v>0.13534547899461066</v>
      </c>
      <c r="J1064" s="28">
        <f t="shared" ca="1" si="98"/>
        <v>0.13915539355763046</v>
      </c>
      <c r="K1064" s="36">
        <v>13.5</v>
      </c>
    </row>
    <row r="1065" spans="1:11" x14ac:dyDescent="0.25">
      <c r="A1065" s="13" t="s">
        <v>7</v>
      </c>
      <c r="B1065" s="29">
        <v>45628</v>
      </c>
      <c r="C1065" s="20">
        <v>0.13014999999999999</v>
      </c>
      <c r="D1065" s="30">
        <f t="shared" ca="1" si="101"/>
        <v>151.14453498991435</v>
      </c>
      <c r="E1065" s="31">
        <f>+E1062*(1+C1064*F1065/365)</f>
        <v>151.14453498991435</v>
      </c>
      <c r="F1065" s="32">
        <f t="shared" si="105"/>
        <v>3</v>
      </c>
      <c r="G1065" s="20">
        <f t="shared" ca="1" si="102"/>
        <v>0.13287792971827869</v>
      </c>
      <c r="H1065" s="20">
        <f t="shared" ca="1" si="106"/>
        <v>0.13161104827861794</v>
      </c>
      <c r="I1065" s="20">
        <f t="shared" ca="1" si="104"/>
        <v>0.13535169973786704</v>
      </c>
      <c r="J1065" s="20">
        <f t="shared" ca="1" si="98"/>
        <v>0.13912775382510134</v>
      </c>
      <c r="K1065" s="36">
        <v>13.5</v>
      </c>
    </row>
    <row r="1066" spans="1:11" x14ac:dyDescent="0.25">
      <c r="A1066" s="13" t="s">
        <v>7</v>
      </c>
      <c r="B1066" s="29">
        <v>45629</v>
      </c>
      <c r="C1066" s="20">
        <v>0.13</v>
      </c>
      <c r="D1066" s="30">
        <f t="shared" ca="1" si="101"/>
        <v>151.19842940424019</v>
      </c>
      <c r="E1066" s="31">
        <f>+E1065*(1+C1065*F1066/365)</f>
        <v>151.19842940424019</v>
      </c>
      <c r="F1066" s="32">
        <f t="shared" si="105"/>
        <v>1</v>
      </c>
      <c r="G1066" s="20">
        <f t="shared" ca="1" si="102"/>
        <v>0.13289940524825333</v>
      </c>
      <c r="H1066" s="20">
        <f t="shared" ca="1" si="106"/>
        <v>0.13151362454346413</v>
      </c>
      <c r="I1066" s="20">
        <f t="shared" ca="1" si="104"/>
        <v>0.13529603292918438</v>
      </c>
      <c r="J1066" s="20">
        <f t="shared" ca="1" si="98"/>
        <v>0.13906929948023017</v>
      </c>
      <c r="K1066" s="36">
        <v>13.5</v>
      </c>
    </row>
    <row r="1067" spans="1:11" x14ac:dyDescent="0.25">
      <c r="A1067" s="13" t="s">
        <v>7</v>
      </c>
      <c r="B1067" s="29">
        <v>45630</v>
      </c>
      <c r="C1067" s="20">
        <v>0.12125</v>
      </c>
      <c r="D1067" s="30">
        <f t="shared" ca="1" si="101"/>
        <v>151.25228089964443</v>
      </c>
      <c r="E1067" s="31">
        <f>+E1066*(1+C1066*F1067/365)</f>
        <v>151.25228089964443</v>
      </c>
      <c r="F1067" s="32">
        <f t="shared" si="105"/>
        <v>1</v>
      </c>
      <c r="G1067" s="20">
        <f t="shared" ca="1" si="102"/>
        <v>0.13289940524824176</v>
      </c>
      <c r="H1067" s="20">
        <f t="shared" ca="1" si="106"/>
        <v>0.13141278211004676</v>
      </c>
      <c r="I1067" s="20">
        <f t="shared" ca="1" si="104"/>
        <v>0.13527385813547457</v>
      </c>
      <c r="J1067" s="20">
        <f t="shared" ca="1" si="98"/>
        <v>0.13900995656854515</v>
      </c>
      <c r="K1067" s="36">
        <v>13.5</v>
      </c>
    </row>
    <row r="1068" spans="1:11" x14ac:dyDescent="0.25">
      <c r="A1068" s="13" t="s">
        <v>7</v>
      </c>
      <c r="B1068" s="29">
        <v>45631</v>
      </c>
      <c r="C1068" s="20">
        <v>0.13</v>
      </c>
      <c r="D1068" s="30">
        <f t="shared" ca="1" si="101"/>
        <v>151.30252566418986</v>
      </c>
      <c r="E1068" s="31">
        <f>+E1067*(1+C1067*F1068/365)</f>
        <v>151.30252566418986</v>
      </c>
      <c r="F1068" s="32">
        <f t="shared" si="105"/>
        <v>1</v>
      </c>
      <c r="G1068" s="20">
        <f t="shared" ca="1" si="102"/>
        <v>0.13168603639216458</v>
      </c>
      <c r="H1068" s="20">
        <f t="shared" ca="1" si="106"/>
        <v>0.13139792828687008</v>
      </c>
      <c r="I1068" s="20">
        <f t="shared" ca="1" si="104"/>
        <v>0.13515071524094438</v>
      </c>
      <c r="J1068" s="20">
        <f t="shared" ca="1" si="98"/>
        <v>0.13889901017249734</v>
      </c>
      <c r="K1068" s="36">
        <v>13.5</v>
      </c>
    </row>
    <row r="1069" spans="1:11" x14ac:dyDescent="0.25">
      <c r="A1069" s="13" t="s">
        <v>7</v>
      </c>
      <c r="B1069" s="29">
        <v>45632</v>
      </c>
      <c r="C1069" s="20">
        <v>0.130881</v>
      </c>
      <c r="D1069" s="30">
        <f t="shared" ca="1" si="101"/>
        <v>151.35641423497438</v>
      </c>
      <c r="E1069" s="31">
        <f>+E1068*(1+C1068*F1069/365)</f>
        <v>151.35641423497438</v>
      </c>
      <c r="F1069" s="32">
        <f t="shared" si="105"/>
        <v>1</v>
      </c>
      <c r="G1069" s="20">
        <f t="shared" ca="1" si="102"/>
        <v>0.13122389760981487</v>
      </c>
      <c r="H1069" s="20">
        <f t="shared" ca="1" si="106"/>
        <v>0.13158189847190799</v>
      </c>
      <c r="I1069" s="20">
        <f t="shared" ca="1" si="104"/>
        <v>0.13512854930238183</v>
      </c>
      <c r="J1069" s="20">
        <f t="shared" ca="1" si="98"/>
        <v>0.13884030869526387</v>
      </c>
      <c r="K1069" s="36">
        <v>13.5</v>
      </c>
    </row>
    <row r="1070" spans="1:11" x14ac:dyDescent="0.25">
      <c r="A1070" s="23" t="s">
        <v>6</v>
      </c>
      <c r="B1070" s="24">
        <v>45633</v>
      </c>
      <c r="C1070" s="28">
        <v>0.130881</v>
      </c>
      <c r="D1070" s="25">
        <f t="shared" ca="1" si="101"/>
        <v>151.41068732771816</v>
      </c>
      <c r="E1070" s="26">
        <f>+E1069*(1+C1069*F1070/365)</f>
        <v>151.41068732771816</v>
      </c>
      <c r="F1070" s="27">
        <f t="shared" si="105"/>
        <v>1</v>
      </c>
      <c r="G1070" s="28">
        <f t="shared" ca="1" si="102"/>
        <v>0.13057078555980753</v>
      </c>
      <c r="H1070" s="28">
        <f t="shared" ca="1" si="106"/>
        <v>0.13186018342155909</v>
      </c>
      <c r="I1070" s="28">
        <f t="shared" ca="1" si="104"/>
        <v>0.13511704199115374</v>
      </c>
      <c r="J1070" s="28">
        <f t="shared" ca="1" si="98"/>
        <v>0.13878619961291033</v>
      </c>
      <c r="K1070" s="36">
        <v>13.5</v>
      </c>
    </row>
    <row r="1071" spans="1:11" x14ac:dyDescent="0.25">
      <c r="A1071" s="23" t="s">
        <v>6</v>
      </c>
      <c r="B1071" s="24">
        <v>45634</v>
      </c>
      <c r="C1071" s="28">
        <v>0.130881</v>
      </c>
      <c r="D1071" s="25">
        <f t="shared" ca="1" si="101"/>
        <v>151.46496042046198</v>
      </c>
      <c r="E1071" s="26">
        <f>+E1069*(1+C1070*F1071/365)</f>
        <v>151.46496042046198</v>
      </c>
      <c r="F1071" s="27">
        <f t="shared" si="105"/>
        <v>2</v>
      </c>
      <c r="G1071" s="28">
        <f t="shared" ca="1" si="102"/>
        <v>0.12991815785969499</v>
      </c>
      <c r="H1071" s="28">
        <f t="shared" ca="1" si="106"/>
        <v>0.13196645558119399</v>
      </c>
      <c r="I1071" s="28">
        <f t="shared" ca="1" si="104"/>
        <v>0.13508705331666676</v>
      </c>
      <c r="J1071" s="28">
        <f t="shared" ca="1" si="98"/>
        <v>0.13873181351551578</v>
      </c>
      <c r="K1071" s="36">
        <v>13.5</v>
      </c>
    </row>
    <row r="1072" spans="1:11" x14ac:dyDescent="0.25">
      <c r="A1072" s="23" t="s">
        <v>6</v>
      </c>
      <c r="B1072" s="24">
        <v>45635</v>
      </c>
      <c r="C1072" s="28">
        <v>0.130881</v>
      </c>
      <c r="D1072" s="25">
        <f t="shared" ca="1" si="101"/>
        <v>151.51923351320576</v>
      </c>
      <c r="E1072" s="26">
        <f>+E1069*(1+C1071*F1072/365)</f>
        <v>151.51923351320576</v>
      </c>
      <c r="F1072" s="27">
        <f t="shared" si="105"/>
        <v>3</v>
      </c>
      <c r="G1072" s="28">
        <f t="shared" ca="1" si="102"/>
        <v>0.12926601397084364</v>
      </c>
      <c r="H1072" s="28">
        <f t="shared" ca="1" si="106"/>
        <v>0.13199297092456713</v>
      </c>
      <c r="I1072" s="28">
        <f t="shared" ca="1" si="104"/>
        <v>0.13505623988388399</v>
      </c>
      <c r="J1072" s="28">
        <f t="shared" ca="1" si="98"/>
        <v>0.13867715062345731</v>
      </c>
      <c r="K1072" s="36">
        <v>13.5</v>
      </c>
    </row>
    <row r="1073" spans="1:11" x14ac:dyDescent="0.25">
      <c r="A1073" s="13" t="s">
        <v>7</v>
      </c>
      <c r="B1073" s="29">
        <v>45636</v>
      </c>
      <c r="C1073" s="20">
        <v>0.13500000000000001</v>
      </c>
      <c r="D1073" s="30">
        <f t="shared" ca="1" si="101"/>
        <v>151.5735066059496</v>
      </c>
      <c r="E1073" s="31">
        <f>+E1069*(1+C1072*F1073/365)</f>
        <v>151.5735066059496</v>
      </c>
      <c r="F1073" s="32">
        <f t="shared" si="105"/>
        <v>4</v>
      </c>
      <c r="G1073" s="20">
        <f t="shared" ca="1" si="102"/>
        <v>0.12935052978617825</v>
      </c>
      <c r="H1073" s="20">
        <f t="shared" ca="1" si="106"/>
        <v>0.13201946739375001</v>
      </c>
      <c r="I1073" s="20">
        <f t="shared" ca="1" si="104"/>
        <v>0.13506473700400004</v>
      </c>
      <c r="J1073" s="20">
        <f t="shared" ca="1" si="98"/>
        <v>0.13862221115698578</v>
      </c>
      <c r="K1073" s="36">
        <v>13.5</v>
      </c>
    </row>
    <row r="1074" spans="1:11" x14ac:dyDescent="0.25">
      <c r="A1074" s="13" t="s">
        <v>7</v>
      </c>
      <c r="B1074" s="29">
        <v>45637</v>
      </c>
      <c r="C1074" s="20">
        <v>0.13500000000000001</v>
      </c>
      <c r="D1074" s="30">
        <f t="shared" ca="1" si="101"/>
        <v>151.62956803989974</v>
      </c>
      <c r="E1074" s="31">
        <f>+E1073*(1+C1073*F1074/365)</f>
        <v>151.62956803989974</v>
      </c>
      <c r="F1074" s="32">
        <f t="shared" si="105"/>
        <v>1</v>
      </c>
      <c r="G1074" s="20">
        <f t="shared" ca="1" si="102"/>
        <v>0.13006633248210117</v>
      </c>
      <c r="H1074" s="20">
        <f t="shared" ca="1" si="106"/>
        <v>0.13219099952719485</v>
      </c>
      <c r="I1074" s="20">
        <f t="shared" ca="1" si="104"/>
        <v>0.135097262809763</v>
      </c>
      <c r="J1074" s="20">
        <f t="shared" ca="1" si="98"/>
        <v>0.13859254582329264</v>
      </c>
      <c r="K1074" s="36">
        <v>13.5</v>
      </c>
    </row>
    <row r="1075" spans="1:11" x14ac:dyDescent="0.25">
      <c r="A1075" s="13" t="s">
        <v>7</v>
      </c>
      <c r="B1075" s="29">
        <v>45638</v>
      </c>
      <c r="C1075" s="20">
        <v>0.13042599999999999</v>
      </c>
      <c r="D1075" s="30">
        <f t="shared" ca="1" si="101"/>
        <v>151.6856502089008</v>
      </c>
      <c r="E1075" s="31">
        <f>+E1074*(1+C1074*F1075/365)</f>
        <v>151.6856502089008</v>
      </c>
      <c r="F1075" s="32">
        <f t="shared" si="105"/>
        <v>1</v>
      </c>
      <c r="G1075" s="20">
        <f t="shared" ca="1" si="102"/>
        <v>0.13203486402548648</v>
      </c>
      <c r="H1075" s="20">
        <f t="shared" ca="1" si="106"/>
        <v>0.13222788256916965</v>
      </c>
      <c r="I1075" s="20">
        <f t="shared" ca="1" si="104"/>
        <v>0.13517772957154228</v>
      </c>
      <c r="J1075" s="20">
        <f t="shared" ca="1" si="98"/>
        <v>0.13856319936254466</v>
      </c>
      <c r="K1075" s="36">
        <v>13.5</v>
      </c>
    </row>
    <row r="1076" spans="1:11" x14ac:dyDescent="0.25">
      <c r="A1076" s="13" t="s">
        <v>7</v>
      </c>
      <c r="B1076" s="29">
        <v>45639</v>
      </c>
      <c r="C1076" s="20">
        <v>0.13226099999999999</v>
      </c>
      <c r="D1076" s="30">
        <f t="shared" ca="1" si="101"/>
        <v>151.73985227085734</v>
      </c>
      <c r="E1076" s="31">
        <f>+E1075*(1+C1075*F1076/365)</f>
        <v>151.73985227085734</v>
      </c>
      <c r="F1076" s="32">
        <f t="shared" si="105"/>
        <v>1</v>
      </c>
      <c r="G1076" s="20">
        <f t="shared" ca="1" si="102"/>
        <v>0.13209585354700626</v>
      </c>
      <c r="H1076" s="20">
        <f t="shared" ca="1" si="106"/>
        <v>0.13213943016282056</v>
      </c>
      <c r="I1076" s="20">
        <f t="shared" ca="1" si="104"/>
        <v>0.13520621501392488</v>
      </c>
      <c r="J1076" s="20">
        <f t="shared" ca="1" si="98"/>
        <v>0.13850703440171247</v>
      </c>
      <c r="K1076" s="36">
        <v>13.5</v>
      </c>
    </row>
    <row r="1077" spans="1:11" x14ac:dyDescent="0.25">
      <c r="A1077" s="13" t="s">
        <v>7</v>
      </c>
      <c r="B1077" s="29">
        <v>45640</v>
      </c>
      <c r="C1077" s="20">
        <v>0.132714</v>
      </c>
      <c r="D1077" s="30">
        <f t="shared" ca="1" si="101"/>
        <v>151.79483655743596</v>
      </c>
      <c r="E1077" s="31">
        <f>+E1076*(1+C1076*F1077/365)</f>
        <v>151.79483655743596</v>
      </c>
      <c r="F1077" s="32">
        <f t="shared" si="105"/>
        <v>1</v>
      </c>
      <c r="G1077" s="20">
        <f t="shared" ca="1" si="102"/>
        <v>0.13229342499026392</v>
      </c>
      <c r="H1077" s="20">
        <f t="shared" ca="1" si="106"/>
        <v>0.13217769434456161</v>
      </c>
      <c r="I1077" s="20">
        <f t="shared" ca="1" si="104"/>
        <v>0.13525627646666363</v>
      </c>
      <c r="J1077" s="20">
        <f t="shared" ca="1" si="98"/>
        <v>0.13846207546289674</v>
      </c>
      <c r="K1077" s="36">
        <v>13.5</v>
      </c>
    </row>
    <row r="1078" spans="1:11" x14ac:dyDescent="0.25">
      <c r="A1078" s="23" t="s">
        <v>6</v>
      </c>
      <c r="B1078" s="24">
        <v>45641</v>
      </c>
      <c r="C1078" s="28">
        <v>0.132714</v>
      </c>
      <c r="D1078" s="25">
        <f t="shared" ca="1" si="101"/>
        <v>151.85002916000823</v>
      </c>
      <c r="E1078" s="26">
        <f>+E1077*(1+C1077*F1078/365)</f>
        <v>151.85002916000823</v>
      </c>
      <c r="F1078" s="27">
        <f t="shared" ref="F1078:F1096" si="108">IF(A1077="Working day",1,(IF(A1076="Working day",2,(IF(A1075="Working day",3,IF(A1074="Working day",4,IF(A1073="Working day",5,6)))))))</f>
        <v>1</v>
      </c>
      <c r="G1078" s="28">
        <f t="shared" ca="1" si="102"/>
        <v>0.13256256906286132</v>
      </c>
      <c r="H1078" s="28">
        <f t="shared" ca="1" si="106"/>
        <v>0.13223030775425182</v>
      </c>
      <c r="I1078" s="28">
        <f t="shared" ca="1" si="104"/>
        <v>0.13528742664142829</v>
      </c>
      <c r="J1078" s="28">
        <f t="shared" ref="J1078:J1141" ca="1" si="109">($D1078/OFFSET($D1078,-180,0)-1)*365/180</f>
        <v>0.13842012265328088</v>
      </c>
      <c r="K1078" s="36">
        <v>13.5</v>
      </c>
    </row>
    <row r="1079" spans="1:11" x14ac:dyDescent="0.25">
      <c r="A1079" s="13" t="s">
        <v>7</v>
      </c>
      <c r="B1079" s="29">
        <v>45642</v>
      </c>
      <c r="C1079" s="20">
        <v>0.13</v>
      </c>
      <c r="D1079" s="30">
        <f t="shared" ca="1" si="101"/>
        <v>151.90522176258054</v>
      </c>
      <c r="E1079" s="31">
        <f>+E1077*(1+C1078*F1079/365)</f>
        <v>151.90522176258054</v>
      </c>
      <c r="F1079" s="32">
        <f t="shared" si="108"/>
        <v>2</v>
      </c>
      <c r="G1079" s="20">
        <f t="shared" ca="1" si="102"/>
        <v>0.13283152032455051</v>
      </c>
      <c r="H1079" s="20">
        <f t="shared" ca="1" si="106"/>
        <v>0.13225788650020476</v>
      </c>
      <c r="I1079" s="20">
        <f t="shared" ca="1" si="104"/>
        <v>0.13531802339607432</v>
      </c>
      <c r="J1079" s="20">
        <f t="shared" ca="1" si="109"/>
        <v>0.13837661219324254</v>
      </c>
      <c r="K1079" s="36">
        <v>13.5</v>
      </c>
    </row>
    <row r="1080" spans="1:11" x14ac:dyDescent="0.25">
      <c r="A1080" s="13" t="s">
        <v>7</v>
      </c>
      <c r="B1080" s="29">
        <v>45643</v>
      </c>
      <c r="C1080" s="20">
        <v>0.13208</v>
      </c>
      <c r="D1080" s="30">
        <f t="shared" ca="1" si="101"/>
        <v>151.95932499224941</v>
      </c>
      <c r="E1080" s="31">
        <f>+E1079*(1+C1079*F1080/365)</f>
        <v>151.95932499224941</v>
      </c>
      <c r="F1080" s="32">
        <f t="shared" si="108"/>
        <v>1</v>
      </c>
      <c r="G1080" s="20">
        <f t="shared" ca="1" si="102"/>
        <v>0.13272552341365421</v>
      </c>
      <c r="H1080" s="20">
        <f t="shared" ca="1" si="106"/>
        <v>0.13219727668245024</v>
      </c>
      <c r="I1080" s="20">
        <f t="shared" ca="1" si="104"/>
        <v>0.13532179958167859</v>
      </c>
      <c r="J1080" s="20">
        <f t="shared" ca="1" si="109"/>
        <v>0.13831728825201545</v>
      </c>
      <c r="K1080" s="36">
        <v>13.5</v>
      </c>
    </row>
    <row r="1081" spans="1:11" x14ac:dyDescent="0.25">
      <c r="A1081" s="13" t="s">
        <v>7</v>
      </c>
      <c r="B1081" s="29">
        <v>45644</v>
      </c>
      <c r="C1081" s="20">
        <v>0.13183300000000001</v>
      </c>
      <c r="D1081" s="30">
        <f t="shared" ca="1" si="101"/>
        <v>152.01431345155069</v>
      </c>
      <c r="E1081" s="31">
        <f>+E1080*(1+C1080*F1081/365)</f>
        <v>152.01431345155069</v>
      </c>
      <c r="F1081" s="32">
        <f t="shared" si="108"/>
        <v>1</v>
      </c>
      <c r="G1081" s="20">
        <f t="shared" ca="1" si="102"/>
        <v>0.13230747337356932</v>
      </c>
      <c r="H1081" s="20">
        <f t="shared" ca="1" si="106"/>
        <v>0.13220833102231111</v>
      </c>
      <c r="I1081" s="20">
        <f t="shared" ca="1" si="104"/>
        <v>0.13529937227118558</v>
      </c>
      <c r="J1081" s="20">
        <f t="shared" ca="1" si="109"/>
        <v>0.13827030497731763</v>
      </c>
      <c r="K1081" s="36">
        <v>13.5</v>
      </c>
    </row>
    <row r="1082" spans="1:11" x14ac:dyDescent="0.25">
      <c r="A1082" s="13" t="s">
        <v>7</v>
      </c>
      <c r="B1082" s="29">
        <v>45645</v>
      </c>
      <c r="C1082" s="20">
        <v>0.13284699999999999</v>
      </c>
      <c r="D1082" s="30">
        <f t="shared" ca="1" si="101"/>
        <v>152.06921893918155</v>
      </c>
      <c r="E1082" s="31">
        <f>+E1081*(1+C1081*F1082/365)</f>
        <v>152.06921893918155</v>
      </c>
      <c r="F1082" s="32">
        <f t="shared" si="108"/>
        <v>1</v>
      </c>
      <c r="G1082" s="20">
        <f t="shared" ca="1" si="102"/>
        <v>0.13185406450743761</v>
      </c>
      <c r="H1082" s="20">
        <f t="shared" ca="1" si="106"/>
        <v>0.13219543030055325</v>
      </c>
      <c r="I1082" s="20">
        <f t="shared" ca="1" si="104"/>
        <v>0.13526506585989739</v>
      </c>
      <c r="J1082" s="20">
        <f t="shared" ca="1" si="109"/>
        <v>0.13822217590886007</v>
      </c>
      <c r="K1082" s="36">
        <v>13.5</v>
      </c>
    </row>
    <row r="1083" spans="1:11" x14ac:dyDescent="0.25">
      <c r="A1083" s="13" t="s">
        <v>7</v>
      </c>
      <c r="B1083" s="29">
        <v>45646</v>
      </c>
      <c r="C1083" s="20">
        <v>0.130824</v>
      </c>
      <c r="D1083" s="30">
        <f t="shared" ca="1" si="101"/>
        <v>152.12456671871143</v>
      </c>
      <c r="E1083" s="31">
        <f>+E1082*(1+C1082*F1083/365)</f>
        <v>152.12456671871143</v>
      </c>
      <c r="F1083" s="32">
        <f t="shared" si="108"/>
        <v>1</v>
      </c>
      <c r="G1083" s="20">
        <f t="shared" ca="1" si="102"/>
        <v>0.13220067236813443</v>
      </c>
      <c r="H1083" s="20">
        <f t="shared" ca="1" si="106"/>
        <v>0.13222806945941318</v>
      </c>
      <c r="I1083" s="20">
        <f t="shared" ca="1" si="104"/>
        <v>0.13524296923733353</v>
      </c>
      <c r="J1083" s="20">
        <f t="shared" ca="1" si="109"/>
        <v>0.13818038109589292</v>
      </c>
      <c r="K1083" s="36">
        <v>13.5</v>
      </c>
    </row>
    <row r="1084" spans="1:11" x14ac:dyDescent="0.25">
      <c r="A1084" s="23" t="s">
        <v>6</v>
      </c>
      <c r="B1084" s="24">
        <v>45647</v>
      </c>
      <c r="C1084" s="28">
        <v>0.130824</v>
      </c>
      <c r="D1084" s="25">
        <f t="shared" ca="1" si="101"/>
        <v>152.17909149766052</v>
      </c>
      <c r="E1084" s="26">
        <f>+E1083*(1+C1083*F1084/365)</f>
        <v>152.17909149766052</v>
      </c>
      <c r="F1084" s="27">
        <f t="shared" si="108"/>
        <v>1</v>
      </c>
      <c r="G1084" s="28">
        <f t="shared" ca="1" si="102"/>
        <v>0.13199494073032067</v>
      </c>
      <c r="H1084" s="28">
        <f t="shared" ca="1" si="106"/>
        <v>0.13220044902758127</v>
      </c>
      <c r="I1084" s="28">
        <f t="shared" ca="1" si="104"/>
        <v>0.13519822488205122</v>
      </c>
      <c r="J1084" s="28">
        <f t="shared" ca="1" si="109"/>
        <v>0.13812595037872785</v>
      </c>
      <c r="K1084" s="36">
        <v>13.5</v>
      </c>
    </row>
    <row r="1085" spans="1:11" x14ac:dyDescent="0.25">
      <c r="A1085" s="23" t="s">
        <v>6</v>
      </c>
      <c r="B1085" s="24">
        <v>45648</v>
      </c>
      <c r="C1085" s="28">
        <v>0.130824</v>
      </c>
      <c r="D1085" s="25">
        <f t="shared" ca="1" si="101"/>
        <v>152.23361627660955</v>
      </c>
      <c r="E1085" s="26">
        <f>+E1083*(1+C1084*F1085/365)</f>
        <v>152.23361627660955</v>
      </c>
      <c r="F1085" s="27">
        <f t="shared" si="108"/>
        <v>2</v>
      </c>
      <c r="G1085" s="28">
        <f t="shared" ca="1" si="102"/>
        <v>0.13171764492522092</v>
      </c>
      <c r="H1085" s="28">
        <f t="shared" ca="1" si="106"/>
        <v>0.13216776695170884</v>
      </c>
      <c r="I1085" s="28">
        <f t="shared" ca="1" si="104"/>
        <v>0.13514975781475422</v>
      </c>
      <c r="J1085" s="28">
        <f t="shared" ca="1" si="109"/>
        <v>0.13806578003920503</v>
      </c>
      <c r="K1085" s="36">
        <v>13.5</v>
      </c>
    </row>
    <row r="1086" spans="1:11" x14ac:dyDescent="0.25">
      <c r="A1086" s="13" t="s">
        <v>7</v>
      </c>
      <c r="B1086" s="29">
        <v>45649</v>
      </c>
      <c r="C1086" s="20">
        <v>0.13</v>
      </c>
      <c r="D1086" s="30">
        <f t="shared" ca="1" si="101"/>
        <v>152.28814105555864</v>
      </c>
      <c r="E1086" s="31">
        <f>+E1083*(1+C1085*F1086/365)</f>
        <v>152.28814105555864</v>
      </c>
      <c r="F1086" s="32">
        <f t="shared" si="108"/>
        <v>3</v>
      </c>
      <c r="G1086" s="20">
        <f t="shared" ca="1" si="102"/>
        <v>0.13144055062312723</v>
      </c>
      <c r="H1086" s="20">
        <f t="shared" ca="1" si="106"/>
        <v>0.13214406356347327</v>
      </c>
      <c r="I1086" s="20">
        <f t="shared" ca="1" si="104"/>
        <v>0.13510075372094171</v>
      </c>
      <c r="J1086" s="20">
        <f t="shared" ca="1" si="109"/>
        <v>0.13801079633811064</v>
      </c>
      <c r="K1086" s="36">
        <v>13.5</v>
      </c>
    </row>
    <row r="1087" spans="1:11" x14ac:dyDescent="0.25">
      <c r="A1087" s="13" t="s">
        <v>7</v>
      </c>
      <c r="B1087" s="29">
        <v>45650</v>
      </c>
      <c r="C1087" s="20">
        <v>0.13</v>
      </c>
      <c r="D1087" s="30">
        <f t="shared" ca="1" si="101"/>
        <v>152.34238066744143</v>
      </c>
      <c r="E1087" s="31">
        <f>+E1086*(1+C1086*F1087/365)</f>
        <v>152.34238066744143</v>
      </c>
      <c r="F1087" s="32">
        <f t="shared" si="108"/>
        <v>1</v>
      </c>
      <c r="G1087" s="20">
        <f t="shared" ca="1" si="102"/>
        <v>0.13144055062311563</v>
      </c>
      <c r="H1087" s="20">
        <f t="shared" ca="1" si="106"/>
        <v>0.13209735539024392</v>
      </c>
      <c r="I1087" s="20">
        <f t="shared" ca="1" si="104"/>
        <v>0.13504336869472808</v>
      </c>
      <c r="J1087" s="20">
        <f t="shared" ca="1" si="109"/>
        <v>0.13795148241539251</v>
      </c>
      <c r="K1087" s="36">
        <v>13.5</v>
      </c>
    </row>
    <row r="1088" spans="1:11" x14ac:dyDescent="0.25">
      <c r="A1088" s="13" t="s">
        <v>7</v>
      </c>
      <c r="B1088" s="29">
        <v>45651</v>
      </c>
      <c r="C1088" s="20">
        <v>0.13</v>
      </c>
      <c r="D1088" s="30">
        <f t="shared" ca="1" si="101"/>
        <v>152.39663959754216</v>
      </c>
      <c r="E1088" s="31">
        <f>+E1087*(1+C1087*F1088/365)</f>
        <v>152.39663959754216</v>
      </c>
      <c r="F1088" s="32">
        <f t="shared" si="108"/>
        <v>1</v>
      </c>
      <c r="G1088" s="20">
        <f t="shared" ca="1" si="102"/>
        <v>0.13114276649195875</v>
      </c>
      <c r="H1088" s="20">
        <f t="shared" ca="1" si="106"/>
        <v>0.13205223983880007</v>
      </c>
      <c r="I1088" s="20">
        <f t="shared" ca="1" si="104"/>
        <v>0.1349859844543212</v>
      </c>
      <c r="J1088" s="20">
        <f t="shared" ca="1" si="109"/>
        <v>0.1378921701170904</v>
      </c>
      <c r="K1088" s="36">
        <v>13.5</v>
      </c>
    </row>
    <row r="1089" spans="1:11" x14ac:dyDescent="0.25">
      <c r="A1089" s="13" t="s">
        <v>7</v>
      </c>
      <c r="B1089" s="29">
        <v>45652</v>
      </c>
      <c r="C1089" s="20">
        <v>0.13</v>
      </c>
      <c r="D1089" s="30">
        <f t="shared" ca="1" si="101"/>
        <v>152.4509178527413</v>
      </c>
      <c r="E1089" s="31">
        <f>+E1088*(1+C1088*F1089/365)</f>
        <v>152.4509178527413</v>
      </c>
      <c r="F1089" s="32">
        <f t="shared" si="108"/>
        <v>1</v>
      </c>
      <c r="G1089" s="20">
        <f t="shared" ca="1" si="102"/>
        <v>0.13088034554375777</v>
      </c>
      <c r="H1089" s="20">
        <f t="shared" ca="1" si="106"/>
        <v>0.13205223983880007</v>
      </c>
      <c r="I1089" s="20">
        <f t="shared" ca="1" si="104"/>
        <v>0.1349286009997093</v>
      </c>
      <c r="J1089" s="20">
        <f t="shared" ca="1" si="109"/>
        <v>0.13783317780256865</v>
      </c>
      <c r="K1089" s="36">
        <v>13.5</v>
      </c>
    </row>
    <row r="1090" spans="1:11" x14ac:dyDescent="0.25">
      <c r="A1090" s="13" t="s">
        <v>7</v>
      </c>
      <c r="B1090" s="29">
        <v>45653</v>
      </c>
      <c r="C1090" s="20">
        <v>0.14000000000000001</v>
      </c>
      <c r="D1090" s="30">
        <f t="shared" ca="1" si="101"/>
        <v>152.50521543992173</v>
      </c>
      <c r="E1090" s="31">
        <f>+E1089*(1+C1089*F1090/365)</f>
        <v>152.50521543992173</v>
      </c>
      <c r="F1090" s="32">
        <f t="shared" si="108"/>
        <v>1</v>
      </c>
      <c r="G1090" s="20">
        <f t="shared" ca="1" si="102"/>
        <v>0.13047275873843975</v>
      </c>
      <c r="H1090" s="20">
        <f t="shared" ca="1" si="106"/>
        <v>0.13205223983880007</v>
      </c>
      <c r="I1090" s="20">
        <f t="shared" ca="1" si="104"/>
        <v>0.13487179115186976</v>
      </c>
      <c r="J1090" s="20">
        <f t="shared" ca="1" si="109"/>
        <v>0.13777450520178508</v>
      </c>
      <c r="K1090" s="36">
        <v>13.5</v>
      </c>
    </row>
    <row r="1091" spans="1:11" x14ac:dyDescent="0.25">
      <c r="A1091" s="23" t="s">
        <v>6</v>
      </c>
      <c r="B1091" s="24">
        <v>45654</v>
      </c>
      <c r="C1091" s="28">
        <v>0.14000000000000001</v>
      </c>
      <c r="D1091" s="25">
        <f t="shared" ref="D1091:D1154" ca="1" si="110">+IF(F1091=1,D1090*(1+C1090*F1091/365),OFFSET(D1090,-F1091+1,0)*(1+C1090*F1091/365))</f>
        <v>152.56371059104939</v>
      </c>
      <c r="E1091" s="26">
        <f>+E1090*(1+C1090*F1091/365)</f>
        <v>152.56371059104939</v>
      </c>
      <c r="F1091" s="27">
        <f t="shared" si="108"/>
        <v>1</v>
      </c>
      <c r="G1091" s="28">
        <f t="shared" ca="1" si="102"/>
        <v>0.13178642508388375</v>
      </c>
      <c r="H1091" s="28">
        <f t="shared" ca="1" si="106"/>
        <v>0.1323983341940744</v>
      </c>
      <c r="I1091" s="28">
        <f t="shared" ca="1" si="104"/>
        <v>0.13493031827732854</v>
      </c>
      <c r="J1091" s="28">
        <f t="shared" ca="1" si="109"/>
        <v>0.13777450520178508</v>
      </c>
      <c r="K1091" s="36">
        <v>13.5</v>
      </c>
    </row>
    <row r="1092" spans="1:11" x14ac:dyDescent="0.25">
      <c r="A1092" s="23" t="s">
        <v>6</v>
      </c>
      <c r="B1092" s="24">
        <v>45655</v>
      </c>
      <c r="C1092" s="28">
        <v>0.14000000000000001</v>
      </c>
      <c r="D1092" s="25">
        <f t="shared" ca="1" si="110"/>
        <v>152.62220574217699</v>
      </c>
      <c r="E1092" s="26">
        <f>+E1090*(1+C1091*F1092/365)</f>
        <v>152.62220574217699</v>
      </c>
      <c r="F1092" s="27">
        <f t="shared" si="108"/>
        <v>2</v>
      </c>
      <c r="G1092" s="28">
        <f t="shared" ca="1" si="102"/>
        <v>0.1330991504102817</v>
      </c>
      <c r="H1092" s="28">
        <f t="shared" ca="1" si="106"/>
        <v>0.13262463263017538</v>
      </c>
      <c r="I1092" s="28">
        <f t="shared" ca="1" si="104"/>
        <v>0.1347578275597601</v>
      </c>
      <c r="J1092" s="28">
        <f t="shared" ca="1" si="109"/>
        <v>0.13777418685100173</v>
      </c>
      <c r="K1092" s="36">
        <v>13.5</v>
      </c>
    </row>
    <row r="1093" spans="1:11" x14ac:dyDescent="0.25">
      <c r="A1093" s="23" t="s">
        <v>6</v>
      </c>
      <c r="B1093" s="24">
        <v>45656</v>
      </c>
      <c r="C1093" s="28">
        <v>0.14000000000000001</v>
      </c>
      <c r="D1093" s="25">
        <f t="shared" ca="1" si="110"/>
        <v>152.68070089330465</v>
      </c>
      <c r="E1093" s="26">
        <f>+E1090*(1+C1092*F1093/365)</f>
        <v>152.68070089330465</v>
      </c>
      <c r="F1093" s="27">
        <f t="shared" si="108"/>
        <v>3</v>
      </c>
      <c r="G1093" s="28">
        <f t="shared" ca="1" si="102"/>
        <v>0.13441093572838497</v>
      </c>
      <c r="H1093" s="28">
        <f t="shared" ca="1" si="106"/>
        <v>0.13277451666317189</v>
      </c>
      <c r="I1093" s="28">
        <f t="shared" ca="1" si="104"/>
        <v>0.13458548319513775</v>
      </c>
      <c r="J1093" s="28">
        <f t="shared" ca="1" si="109"/>
        <v>0.13777355039355635</v>
      </c>
      <c r="K1093" s="36">
        <v>13.5</v>
      </c>
    </row>
    <row r="1094" spans="1:11" x14ac:dyDescent="0.25">
      <c r="A1094" s="23" t="s">
        <v>6</v>
      </c>
      <c r="B1094" s="24">
        <v>45657</v>
      </c>
      <c r="C1094" s="28">
        <v>0.14000000000000001</v>
      </c>
      <c r="D1094" s="25">
        <f t="shared" ca="1" si="110"/>
        <v>152.7391960444323</v>
      </c>
      <c r="E1094" s="26">
        <f>+E1090*(1+C1093*F1094/365)</f>
        <v>152.7391960444323</v>
      </c>
      <c r="F1094" s="27">
        <f t="shared" si="108"/>
        <v>4</v>
      </c>
      <c r="G1094" s="28">
        <f t="shared" ca="1" si="102"/>
        <v>0.13581964141476816</v>
      </c>
      <c r="H1094" s="28">
        <f t="shared" ca="1" si="106"/>
        <v>0.13292428954171567</v>
      </c>
      <c r="I1094" s="28">
        <f t="shared" ca="1" si="104"/>
        <v>0.13464101461921055</v>
      </c>
      <c r="J1094" s="28">
        <f t="shared" ca="1" si="109"/>
        <v>0.13778822961671547</v>
      </c>
      <c r="K1094" s="36">
        <v>13.5</v>
      </c>
    </row>
    <row r="1095" spans="1:11" x14ac:dyDescent="0.25">
      <c r="A1095" s="23" t="s">
        <v>6</v>
      </c>
      <c r="B1095" s="24">
        <v>45658</v>
      </c>
      <c r="C1095" s="28">
        <v>0.14000000000000001</v>
      </c>
      <c r="D1095" s="25">
        <f t="shared" ca="1" si="110"/>
        <v>152.79769119555991</v>
      </c>
      <c r="E1095" s="26">
        <f>+E1090*(1+C1094*F1095/365)</f>
        <v>152.79769119555991</v>
      </c>
      <c r="F1095" s="27">
        <f t="shared" si="108"/>
        <v>5</v>
      </c>
      <c r="G1095" s="28">
        <f t="shared" ca="1" si="102"/>
        <v>0.13722071718628573</v>
      </c>
      <c r="H1095" s="28">
        <f t="shared" ca="1" si="106"/>
        <v>0.13307395138939693</v>
      </c>
      <c r="I1095" s="28">
        <f t="shared" ca="1" si="104"/>
        <v>0.13469593219857606</v>
      </c>
      <c r="J1095" s="28">
        <f t="shared" ca="1" si="109"/>
        <v>0.13779932341390996</v>
      </c>
      <c r="K1095" s="36">
        <v>13.5</v>
      </c>
    </row>
    <row r="1096" spans="1:11" x14ac:dyDescent="0.25">
      <c r="A1096" s="23" t="s">
        <v>6</v>
      </c>
      <c r="B1096" s="24">
        <v>45659</v>
      </c>
      <c r="C1096" s="28">
        <v>0.14000000000000001</v>
      </c>
      <c r="D1096" s="25">
        <f t="shared" ca="1" si="110"/>
        <v>152.85618634668756</v>
      </c>
      <c r="E1096" s="26">
        <f>+E1090*(1+C1095*F1096/365)</f>
        <v>152.85618634668756</v>
      </c>
      <c r="F1096" s="27">
        <f t="shared" si="108"/>
        <v>6</v>
      </c>
      <c r="G1096" s="28">
        <f t="shared" ca="1" si="102"/>
        <v>0.13861416829745749</v>
      </c>
      <c r="H1096" s="28">
        <f t="shared" ca="1" si="106"/>
        <v>0.13339673045931877</v>
      </c>
      <c r="I1096" s="28">
        <f t="shared" ca="1" si="104"/>
        <v>0.13475023637955713</v>
      </c>
      <c r="J1096" s="28">
        <f t="shared" ca="1" si="109"/>
        <v>0.13781040883386914</v>
      </c>
      <c r="K1096" s="36">
        <v>13.5</v>
      </c>
    </row>
    <row r="1097" spans="1:11" x14ac:dyDescent="0.25">
      <c r="A1097" s="13" t="s">
        <v>7</v>
      </c>
      <c r="B1097" s="29">
        <v>45660</v>
      </c>
      <c r="C1097" s="20">
        <v>0.13200000000000001</v>
      </c>
      <c r="D1097" s="30">
        <f t="shared" ca="1" si="110"/>
        <v>152.91468149781522</v>
      </c>
      <c r="E1097" s="31">
        <f>+E1090*(1+C1096*F1097/365)</f>
        <v>152.91468149781522</v>
      </c>
      <c r="F1097" s="32">
        <f>IF(A1096="Working day",1,(IF(A1095="Working day",2,(IF(A1094="Working day",3,IF(A1093="Working day",4,IF(A1092="Working day",5,IF(A1091="Working day",6,7))))))))</f>
        <v>7</v>
      </c>
      <c r="G1097" s="20">
        <f t="shared" ref="G1097:G1160" ca="1" si="111">(D1097/OFFSET(D1097,-7,0)-1)*365/7</f>
        <v>0.1400000000000014</v>
      </c>
      <c r="H1097" s="20">
        <f t="shared" ca="1" si="106"/>
        <v>0.13372276982607112</v>
      </c>
      <c r="I1097" s="20">
        <f t="shared" ca="1" si="104"/>
        <v>0.13480450042001366</v>
      </c>
      <c r="J1097" s="20">
        <f t="shared" ca="1" si="109"/>
        <v>0.13782148588607626</v>
      </c>
      <c r="K1097" s="36">
        <v>13.5</v>
      </c>
    </row>
    <row r="1098" spans="1:11" x14ac:dyDescent="0.25">
      <c r="A1098" s="13" t="s">
        <v>7</v>
      </c>
      <c r="B1098" s="29">
        <v>45661</v>
      </c>
      <c r="C1098" s="20">
        <v>0.125</v>
      </c>
      <c r="D1098" s="30">
        <f t="shared" ca="1" si="110"/>
        <v>152.96998214975414</v>
      </c>
      <c r="E1098" s="31">
        <f>+E1097*(1+C1097*F1098/365)</f>
        <v>152.96998214975414</v>
      </c>
      <c r="F1098" s="32">
        <f>IF(A1097="Working day",1,(IF(A1096="Working day",2,(IF(A1095="Working day",3,IF(A1094="Working day",4,IF(A1093="Working day",5,IF(A1092="Working day",6,7))))))))</f>
        <v>1</v>
      </c>
      <c r="G1098" s="20">
        <f t="shared" ca="1" si="111"/>
        <v>0.13885451372858507</v>
      </c>
      <c r="H1098" s="20">
        <f t="shared" ca="1" si="106"/>
        <v>0.13408492126601584</v>
      </c>
      <c r="I1098" s="20">
        <f t="shared" ca="1" si="104"/>
        <v>0.13477121702942133</v>
      </c>
      <c r="J1098" s="20">
        <f t="shared" ca="1" si="109"/>
        <v>0.1377740388955811</v>
      </c>
      <c r="K1098" s="36">
        <v>13.5</v>
      </c>
    </row>
    <row r="1099" spans="1:11" x14ac:dyDescent="0.25">
      <c r="A1099" s="23" t="s">
        <v>6</v>
      </c>
      <c r="B1099" s="24">
        <v>45662</v>
      </c>
      <c r="C1099" s="28">
        <v>0.125</v>
      </c>
      <c r="D1099" s="25">
        <f t="shared" ca="1" si="110"/>
        <v>153.0223691299424</v>
      </c>
      <c r="E1099" s="26">
        <f>+E1093*(1+C1098*F1099/365)</f>
        <v>152.73298880456946</v>
      </c>
      <c r="F1099" s="27">
        <f>IF(A1098="Working day",1,(IF(A1097="Working day",2,(IF(A1096="Working day",3,IF(A1095="Working day",4,IF(A1094="Working day",5,6)))))))</f>
        <v>1</v>
      </c>
      <c r="G1099" s="28">
        <f t="shared" ca="1" si="111"/>
        <v>0.13671445947585656</v>
      </c>
      <c r="H1099" s="28">
        <f t="shared" ca="1" si="106"/>
        <v>0.13391647781316166</v>
      </c>
      <c r="I1099" s="28">
        <f t="shared" ca="1" si="104"/>
        <v>0.13465645600205936</v>
      </c>
      <c r="J1099" s="28">
        <f t="shared" ca="1" si="109"/>
        <v>0.13768507773753152</v>
      </c>
      <c r="K1099" s="36">
        <v>13.5</v>
      </c>
    </row>
    <row r="1100" spans="1:11" x14ac:dyDescent="0.25">
      <c r="A1100" s="13" t="s">
        <v>7</v>
      </c>
      <c r="B1100" s="29">
        <v>45663</v>
      </c>
      <c r="C1100" s="20">
        <v>0.12</v>
      </c>
      <c r="D1100" s="30">
        <f t="shared" ca="1" si="110"/>
        <v>153.07475611013069</v>
      </c>
      <c r="E1100" s="31">
        <f>+E1098*(1+C1099*F1100/365)</f>
        <v>153.07475611013069</v>
      </c>
      <c r="F1100" s="32">
        <f>IF(A1099="Working day",1,(IF(A1098="Working day",2,(IF(A1097="Working day",3,IF(A1096="Working day",4,IF(A1095="Working day",5,IF(A1094="Working day",6,7))))))))</f>
        <v>2</v>
      </c>
      <c r="G1100" s="20">
        <f t="shared" ca="1" si="111"/>
        <v>0.13457604502167883</v>
      </c>
      <c r="H1100" s="20">
        <f t="shared" ca="1" si="106"/>
        <v>0.13371691617909082</v>
      </c>
      <c r="I1100" s="20">
        <f t="shared" ca="1" si="104"/>
        <v>0.13454825297993758</v>
      </c>
      <c r="J1100" s="20">
        <f t="shared" ca="1" si="109"/>
        <v>0.13761678859179205</v>
      </c>
      <c r="K1100" s="36">
        <v>13.5</v>
      </c>
    </row>
    <row r="1101" spans="1:11" x14ac:dyDescent="0.25">
      <c r="A1101" s="13" t="s">
        <v>7</v>
      </c>
      <c r="B1101" s="29">
        <v>45664</v>
      </c>
      <c r="C1101" s="20">
        <v>0.12</v>
      </c>
      <c r="D1101" s="30">
        <f t="shared" ca="1" si="110"/>
        <v>153.12508205734497</v>
      </c>
      <c r="E1101" s="31">
        <f>+E1100*(1+C1100*F1101/365)</f>
        <v>153.12508205734497</v>
      </c>
      <c r="F1101" s="32">
        <f>IF(A1100="Working day",1,(IF(A1099="Working day",2,(IF(A1098="Working day",3,IF(A1097="Working day",4,IF(A1096="Working day",5,IF(A1095="Working day",6,7))))))))</f>
        <v>1</v>
      </c>
      <c r="G1101" s="20">
        <f t="shared" ca="1" si="111"/>
        <v>0.13173566291967626</v>
      </c>
      <c r="H1101" s="20">
        <f t="shared" ca="1" si="106"/>
        <v>0.13335194176928408</v>
      </c>
      <c r="I1101" s="20">
        <f t="shared" ca="1" si="104"/>
        <v>0.13442427525648626</v>
      </c>
      <c r="J1101" s="20">
        <f t="shared" ca="1" si="109"/>
        <v>0.13752783267549892</v>
      </c>
      <c r="K1101" s="36">
        <v>13.5</v>
      </c>
    </row>
    <row r="1102" spans="1:11" x14ac:dyDescent="0.25">
      <c r="A1102" s="13" t="s">
        <v>7</v>
      </c>
      <c r="B1102" s="29">
        <v>45665</v>
      </c>
      <c r="C1102" s="20">
        <v>0.12</v>
      </c>
      <c r="D1102" s="30">
        <f t="shared" ca="1" si="110"/>
        <v>153.17542455007614</v>
      </c>
      <c r="E1102" s="31">
        <f>+E1101*(1+C1101*F1102/365)</f>
        <v>153.17542455007614</v>
      </c>
      <c r="F1102" s="32">
        <f>IF(A1101="Working day",1,(IF(A1100="Working day",2,(IF(A1099="Working day",3,IF(A1098="Working day",4,IF(A1097="Working day",5,IF(A1096="Working day",6,7))))))))</f>
        <v>1</v>
      </c>
      <c r="G1102" s="20">
        <f t="shared" ca="1" si="111"/>
        <v>0.12890310179768746</v>
      </c>
      <c r="H1102" s="20">
        <f t="shared" ca="1" si="106"/>
        <v>0.13298855739107773</v>
      </c>
      <c r="I1102" s="20">
        <f t="shared" ca="1" si="104"/>
        <v>0.13430952215948486</v>
      </c>
      <c r="J1102" s="20">
        <f t="shared" ca="1" si="109"/>
        <v>0.13742336788753315</v>
      </c>
      <c r="K1102" s="36">
        <v>13.5</v>
      </c>
    </row>
    <row r="1103" spans="1:11" x14ac:dyDescent="0.25">
      <c r="A1103" s="13" t="s">
        <v>7</v>
      </c>
      <c r="B1103" s="29">
        <v>45666</v>
      </c>
      <c r="C1103" s="20">
        <v>0.13</v>
      </c>
      <c r="D1103" s="30">
        <f t="shared" ca="1" si="110"/>
        <v>153.22578359376385</v>
      </c>
      <c r="E1103" s="31">
        <f>+E1102*(1+C1102*F1103/365)</f>
        <v>153.22578359376385</v>
      </c>
      <c r="F1103" s="32">
        <f>IF(A1102="Working day",1,(IF(A1101="Working day",2,(IF(A1100="Working day",3,IF(A1099="Working day",4,IF(A1098="Working day",5,IF(A1097="Working day",6,7))))))))</f>
        <v>1</v>
      </c>
      <c r="G1103" s="20">
        <f t="shared" ca="1" si="111"/>
        <v>0.12607835453242749</v>
      </c>
      <c r="H1103" s="20">
        <f t="shared" ca="1" si="106"/>
        <v>0.13262676177309607</v>
      </c>
      <c r="I1103" s="20">
        <f t="shared" ca="1" si="104"/>
        <v>0.13413739958518883</v>
      </c>
      <c r="J1103" s="20">
        <f t="shared" ca="1" si="109"/>
        <v>0.13731921567977584</v>
      </c>
      <c r="K1103" s="36">
        <v>13.5</v>
      </c>
    </row>
    <row r="1104" spans="1:11" x14ac:dyDescent="0.25">
      <c r="A1104" s="13" t="s">
        <v>7</v>
      </c>
      <c r="B1104" s="29">
        <v>45667</v>
      </c>
      <c r="C1104" s="20">
        <v>0.13</v>
      </c>
      <c r="D1104" s="30">
        <f t="shared" ca="1" si="110"/>
        <v>153.28035716052327</v>
      </c>
      <c r="E1104" s="31">
        <f>+E1103*(1+C1103*F1104/365)</f>
        <v>153.28035716052327</v>
      </c>
      <c r="F1104" s="32">
        <f>IF(A1103="Working day",1,(IF(A1102="Working day",2,(IF(A1101="Working day",3,IF(A1100="Working day",4,IF(A1099="Working day",5,IF(A1098="Working day",6,7))))))))</f>
        <v>1</v>
      </c>
      <c r="G1104" s="20">
        <f t="shared" ca="1" si="111"/>
        <v>0.12469289184294352</v>
      </c>
      <c r="H1104" s="20">
        <f t="shared" ca="1" si="106"/>
        <v>0.13245834059423717</v>
      </c>
      <c r="I1104" s="20">
        <f t="shared" ca="1" si="104"/>
        <v>0.13408060046356429</v>
      </c>
      <c r="J1104" s="20">
        <f t="shared" ca="1" si="109"/>
        <v>0.13727467116247427</v>
      </c>
      <c r="K1104" s="36">
        <v>13.5</v>
      </c>
    </row>
    <row r="1105" spans="1:11" x14ac:dyDescent="0.25">
      <c r="A1105" s="23" t="s">
        <v>6</v>
      </c>
      <c r="B1105" s="24">
        <v>45668</v>
      </c>
      <c r="C1105" s="28">
        <v>0.13</v>
      </c>
      <c r="D1105" s="25">
        <f t="shared" ca="1" si="110"/>
        <v>153.33495016444346</v>
      </c>
      <c r="E1105" s="26">
        <f>+E1104*(1+C1104*F1105/365)</f>
        <v>153.33495016444346</v>
      </c>
      <c r="F1105" s="27">
        <f>IF(A1104="Working day",1,(IF(A1103="Working day",2,(IF(A1102="Working day",3,IF(A1101="Working day",4,IF(A1100="Working day",5,6)))))))</f>
        <v>1</v>
      </c>
      <c r="G1105" s="28">
        <f t="shared" ca="1" si="111"/>
        <v>0.12440659784497107</v>
      </c>
      <c r="H1105" s="28">
        <f t="shared" ca="1" si="106"/>
        <v>0.13228992172166637</v>
      </c>
      <c r="I1105" s="28">
        <f t="shared" ca="1" si="104"/>
        <v>0.13402437439385664</v>
      </c>
      <c r="J1105" s="28">
        <f t="shared" ca="1" si="109"/>
        <v>0.13724474519453531</v>
      </c>
      <c r="K1105" s="36">
        <v>13.5</v>
      </c>
    </row>
    <row r="1106" spans="1:11" x14ac:dyDescent="0.25">
      <c r="A1106" s="23" t="s">
        <v>6</v>
      </c>
      <c r="B1106" s="24">
        <v>45669</v>
      </c>
      <c r="C1106" s="28">
        <v>0.13</v>
      </c>
      <c r="D1106" s="25">
        <f t="shared" ca="1" si="110"/>
        <v>153.38954316836364</v>
      </c>
      <c r="E1106" s="26">
        <f>+E1104*(1+C1105*F1106/365)</f>
        <v>153.38954316836364</v>
      </c>
      <c r="F1106" s="27">
        <f>IF(A1105="Working day",1,(IF(A1104="Working day",2,(IF(A1103="Working day",3,IF(A1102="Working day",4,IF(A1101="Working day",5,6)))))))</f>
        <v>2</v>
      </c>
      <c r="G1106" s="28">
        <f t="shared" ca="1" si="111"/>
        <v>0.12511571700805729</v>
      </c>
      <c r="H1106" s="28">
        <f t="shared" ca="1" si="106"/>
        <v>0.13227401340266109</v>
      </c>
      <c r="I1106" s="28">
        <f t="shared" ca="1" si="104"/>
        <v>0.1339857836923336</v>
      </c>
      <c r="J1106" s="28">
        <f t="shared" ca="1" si="109"/>
        <v>0.13721026425943639</v>
      </c>
      <c r="K1106" s="36">
        <v>13.5</v>
      </c>
    </row>
    <row r="1107" spans="1:11" x14ac:dyDescent="0.25">
      <c r="A1107" s="13" t="s">
        <v>7</v>
      </c>
      <c r="B1107" s="29">
        <v>45670</v>
      </c>
      <c r="C1107" s="20">
        <v>0.13036500000000001</v>
      </c>
      <c r="D1107" s="30">
        <f t="shared" ca="1" si="110"/>
        <v>153.44413617228383</v>
      </c>
      <c r="E1107" s="31">
        <f>+E1104*(1+C1106*F1107/365)</f>
        <v>153.44413617228383</v>
      </c>
      <c r="F1107" s="32">
        <f>IF(A1106="Working day",1,(IF(A1105="Working day",2,(IF(A1104="Working day",3,IF(A1103="Working day",4,IF(A1102="Working day",5,IF(A1101="Working day",6,7))))))))</f>
        <v>3</v>
      </c>
      <c r="G1107" s="20">
        <f t="shared" ca="1" si="111"/>
        <v>0.12582435080551885</v>
      </c>
      <c r="H1107" s="20">
        <f t="shared" ca="1" si="106"/>
        <v>0.13219473799244352</v>
      </c>
      <c r="I1107" s="20">
        <f t="shared" ca="1" si="104"/>
        <v>0.13394842963227038</v>
      </c>
      <c r="J1107" s="20">
        <f t="shared" ca="1" si="109"/>
        <v>0.13717797024308551</v>
      </c>
      <c r="K1107" s="36">
        <v>13.5</v>
      </c>
    </row>
    <row r="1108" spans="1:11" x14ac:dyDescent="0.25">
      <c r="A1108" s="13" t="s">
        <v>7</v>
      </c>
      <c r="B1108" s="29">
        <v>45671</v>
      </c>
      <c r="C1108" s="20">
        <v>0.13025100000000001</v>
      </c>
      <c r="D1108" s="30">
        <f t="shared" ca="1" si="110"/>
        <v>153.49894095259094</v>
      </c>
      <c r="E1108" s="31">
        <f>+E1107*(1+C1107*F1108/365)</f>
        <v>153.49894095259094</v>
      </c>
      <c r="F1108" s="32">
        <f>IF(A1107="Working day",1,(IF(A1106="Working day",2,(IF(A1105="Working day",3,IF(A1104="Working day",4,IF(A1103="Working day",5,IF(A1102="Working day",6,7))))))))</f>
        <v>1</v>
      </c>
      <c r="G1108" s="20">
        <f t="shared" ca="1" si="111"/>
        <v>0.12730815033357348</v>
      </c>
      <c r="H1108" s="20">
        <f t="shared" ca="1" si="106"/>
        <v>0.13211561600656632</v>
      </c>
      <c r="I1108" s="20">
        <f t="shared" ca="1" si="104"/>
        <v>0.13389524834049837</v>
      </c>
      <c r="J1108" s="20">
        <f t="shared" ca="1" si="109"/>
        <v>0.13712454885764916</v>
      </c>
      <c r="K1108" s="36">
        <v>13.5</v>
      </c>
    </row>
    <row r="1109" spans="1:11" x14ac:dyDescent="0.25">
      <c r="A1109" s="13" t="s">
        <v>7</v>
      </c>
      <c r="B1109" s="29">
        <v>45672</v>
      </c>
      <c r="C1109" s="20">
        <v>0.13</v>
      </c>
      <c r="D1109" s="30">
        <f t="shared" ca="1" si="110"/>
        <v>153.55371736507865</v>
      </c>
      <c r="E1109" s="31">
        <f>+E1108*(1+C1108*F1109/365)</f>
        <v>153.55371736507865</v>
      </c>
      <c r="F1109" s="32">
        <f>IF(A1108="Working day",1,(IF(A1107="Working day",2,(IF(A1106="Working day",3,IF(A1105="Working day",4,IF(A1104="Working day",5,IF(A1103="Working day",6,7))))))))</f>
        <v>1</v>
      </c>
      <c r="G1109" s="20">
        <f t="shared" ca="1" si="111"/>
        <v>0.12877567187285024</v>
      </c>
      <c r="H1109" s="20">
        <f t="shared" ca="1" si="106"/>
        <v>0.13203427942989387</v>
      </c>
      <c r="I1109" s="20">
        <f t="shared" ca="1" si="104"/>
        <v>0.13384075972158302</v>
      </c>
      <c r="J1109" s="20">
        <f t="shared" ca="1" si="109"/>
        <v>0.13706885210509206</v>
      </c>
      <c r="K1109" s="36">
        <v>13.5</v>
      </c>
    </row>
    <row r="1110" spans="1:11" x14ac:dyDescent="0.25">
      <c r="A1110" s="13" t="s">
        <v>7</v>
      </c>
      <c r="B1110" s="29">
        <v>45673</v>
      </c>
      <c r="C1110" s="20">
        <v>0.13</v>
      </c>
      <c r="D1110" s="30">
        <f t="shared" ca="1" si="110"/>
        <v>153.60840773016758</v>
      </c>
      <c r="E1110" s="31">
        <f>+E1109*(1+C1109*F1110/365)</f>
        <v>153.60840773016758</v>
      </c>
      <c r="F1110" s="32">
        <f>IF(A1109="Working day",1,(IF(A1108="Working day",2,(IF(A1107="Working day",3,IF(A1106="Working day",4,IF(A1105="Working day",5,IF(A1104="Working day",6,7))))))))</f>
        <v>1</v>
      </c>
      <c r="G1110" s="20">
        <f t="shared" ca="1" si="111"/>
        <v>0.13020730072951633</v>
      </c>
      <c r="H1110" s="20">
        <f t="shared" ca="1" si="106"/>
        <v>0.13203427942989118</v>
      </c>
      <c r="I1110" s="20">
        <f t="shared" ca="1" si="104"/>
        <v>0.13379343119593351</v>
      </c>
      <c r="J1110" s="20">
        <f t="shared" ca="1" si="109"/>
        <v>0.13701198527947031</v>
      </c>
      <c r="K1110" s="36">
        <v>13.5</v>
      </c>
    </row>
    <row r="1111" spans="1:11" x14ac:dyDescent="0.25">
      <c r="A1111" s="13" t="s">
        <v>7</v>
      </c>
      <c r="B1111" s="29">
        <v>45674</v>
      </c>
      <c r="C1111" s="20">
        <v>0.13</v>
      </c>
      <c r="D1111" s="30">
        <f t="shared" ca="1" si="110"/>
        <v>153.6631175740167</v>
      </c>
      <c r="E1111" s="31">
        <f>+E1110*(1+C1110*F1111/365)</f>
        <v>153.6631175740167</v>
      </c>
      <c r="F1111" s="32">
        <f>IF(A1110="Working day",1,(IF(A1109="Working day",2,(IF(A1108="Working day",3,IF(A1107="Working day",4,IF(A1106="Working day",5,IF(A1105="Working day",6,7))))))))</f>
        <v>1</v>
      </c>
      <c r="G1111" s="20">
        <f t="shared" ca="1" si="111"/>
        <v>0.13020730072951633</v>
      </c>
      <c r="H1111" s="20">
        <f t="shared" ca="1" si="106"/>
        <v>0.13196421903430477</v>
      </c>
      <c r="I1111" s="20">
        <f t="shared" ca="1" si="104"/>
        <v>0.13374666847545855</v>
      </c>
      <c r="J1111" s="20">
        <f t="shared" ca="1" si="109"/>
        <v>0.13695543632475826</v>
      </c>
      <c r="K1111" s="36">
        <v>13.5</v>
      </c>
    </row>
    <row r="1112" spans="1:11" x14ac:dyDescent="0.25">
      <c r="A1112" s="23" t="s">
        <v>6</v>
      </c>
      <c r="B1112" s="24">
        <v>45675</v>
      </c>
      <c r="C1112" s="28">
        <v>0.13</v>
      </c>
      <c r="D1112" s="25">
        <f t="shared" ca="1" si="110"/>
        <v>153.71784690356361</v>
      </c>
      <c r="E1112" s="26">
        <f>+E1111*(1+C1111*F1112/365)</f>
        <v>153.71784690356361</v>
      </c>
      <c r="F1112" s="27">
        <f>IF(A1111="Working day",1,(IF(A1110="Working day",2,(IF(A1109="Working day",3,IF(A1108="Working day",4,IF(A1107="Working day",5,6)))))))</f>
        <v>1</v>
      </c>
      <c r="G1112" s="28">
        <f t="shared" ca="1" si="111"/>
        <v>0.13020730072952791</v>
      </c>
      <c r="H1112" s="28">
        <f t="shared" ca="1" si="106"/>
        <v>0.13190247862063323</v>
      </c>
      <c r="I1112" s="28">
        <f t="shared" ca="1" si="104"/>
        <v>0.13370047112616962</v>
      </c>
      <c r="J1112" s="28">
        <f t="shared" ca="1" si="109"/>
        <v>0.13689704648458012</v>
      </c>
      <c r="K1112" s="36">
        <v>13.5</v>
      </c>
    </row>
    <row r="1113" spans="1:11" x14ac:dyDescent="0.25">
      <c r="A1113" s="23" t="s">
        <v>6</v>
      </c>
      <c r="B1113" s="24">
        <v>45676</v>
      </c>
      <c r="C1113" s="28">
        <v>0.13</v>
      </c>
      <c r="D1113" s="25">
        <f t="shared" ca="1" si="110"/>
        <v>153.77257623311053</v>
      </c>
      <c r="E1113" s="26">
        <f>+E1111*(1+C1112*F1113/365)</f>
        <v>153.77257623311053</v>
      </c>
      <c r="F1113" s="27">
        <f>IF(A1112="Working day",1,(IF(A1111="Working day",2,(IF(A1110="Working day",3,IF(A1109="Working day",4,IF(A1108="Working day",5,6)))))))</f>
        <v>2</v>
      </c>
      <c r="G1113" s="28">
        <f t="shared" ca="1" si="111"/>
        <v>0.13020730072952791</v>
      </c>
      <c r="H1113" s="28">
        <f t="shared" ca="1" si="106"/>
        <v>0.13180502569492428</v>
      </c>
      <c r="I1113" s="28">
        <f t="shared" ca="1" si="104"/>
        <v>0.133642574240453</v>
      </c>
      <c r="J1113" s="28">
        <f t="shared" ca="1" si="109"/>
        <v>0.13685933423117119</v>
      </c>
      <c r="K1113" s="36">
        <v>13.5</v>
      </c>
    </row>
    <row r="1114" spans="1:11" x14ac:dyDescent="0.25">
      <c r="A1114" s="13" t="s">
        <v>7</v>
      </c>
      <c r="B1114" s="29">
        <v>45677</v>
      </c>
      <c r="C1114" s="20">
        <v>0.13</v>
      </c>
      <c r="D1114" s="30">
        <f t="shared" ca="1" si="110"/>
        <v>153.82730556265744</v>
      </c>
      <c r="E1114" s="31">
        <f>+E1111*(1+C1113*F1114/365)</f>
        <v>153.82730556265744</v>
      </c>
      <c r="F1114" s="32">
        <f>IF(A1113="Working day",1,(IF(A1112="Working day",2,(IF(A1111="Working day",3,IF(A1110="Working day",4,IF(A1109="Working day",5,IF(A1108="Working day",6,7))))))))</f>
        <v>3</v>
      </c>
      <c r="G1114" s="20">
        <f t="shared" ca="1" si="111"/>
        <v>0.13020730072952791</v>
      </c>
      <c r="H1114" s="20">
        <f t="shared" ca="1" si="106"/>
        <v>0.13177415456207667</v>
      </c>
      <c r="I1114" s="20">
        <f t="shared" ca="1" si="104"/>
        <v>0.13358414750586148</v>
      </c>
      <c r="J1114" s="20">
        <f t="shared" ca="1" si="109"/>
        <v>0.13682068448188092</v>
      </c>
      <c r="K1114" s="36">
        <v>13.5</v>
      </c>
    </row>
    <row r="1115" spans="1:11" x14ac:dyDescent="0.25">
      <c r="A1115" s="13" t="s">
        <v>7</v>
      </c>
      <c r="B1115" s="29">
        <v>45678</v>
      </c>
      <c r="C1115" s="20">
        <v>0.132608</v>
      </c>
      <c r="D1115" s="30">
        <f t="shared" ca="1" si="110"/>
        <v>153.88209337011813</v>
      </c>
      <c r="E1115" s="31">
        <f>+E1114*(1+C1114*F1115/365)</f>
        <v>153.88209337011813</v>
      </c>
      <c r="F1115" s="32">
        <f>IF(A1114="Working day",1,(IF(A1113="Working day",2,(IF(A1112="Working day",3,IF(A1111="Working day",4,IF(A1110="Working day",5,IF(A1109="Working day",6,7))))))))</f>
        <v>1</v>
      </c>
      <c r="G1115" s="20">
        <f t="shared" ca="1" si="111"/>
        <v>0.13015504632849728</v>
      </c>
      <c r="H1115" s="20">
        <f t="shared" ca="1" si="106"/>
        <v>0.13174797915797831</v>
      </c>
      <c r="I1115" s="20">
        <f t="shared" ca="1" si="104"/>
        <v>0.13352678324739528</v>
      </c>
      <c r="J1115" s="20">
        <f t="shared" ca="1" si="109"/>
        <v>0.13679104341128706</v>
      </c>
      <c r="K1115" s="36">
        <v>13.5</v>
      </c>
    </row>
    <row r="1116" spans="1:11" x14ac:dyDescent="0.25">
      <c r="A1116" s="13" t="s">
        <v>7</v>
      </c>
      <c r="B1116" s="29">
        <v>45679</v>
      </c>
      <c r="C1116" s="20">
        <v>0.132274</v>
      </c>
      <c r="D1116" s="30">
        <f t="shared" ca="1" si="110"/>
        <v>153.93800021022122</v>
      </c>
      <c r="E1116" s="31">
        <f>+E1115*(1+C1115*F1116/365)</f>
        <v>153.93800021022122</v>
      </c>
      <c r="F1116" s="32">
        <f>IF(A1115="Working day",1,(IF(A1114="Working day",2,(IF(A1113="Working day",3,IF(A1112="Working day",4,IF(A1111="Working day",5,IF(A1110="Working day",6,7))))))))</f>
        <v>1</v>
      </c>
      <c r="G1116" s="20">
        <f t="shared" ca="1" si="111"/>
        <v>0.13049248068074645</v>
      </c>
      <c r="H1116" s="20">
        <f t="shared" ca="1" si="106"/>
        <v>0.13181122471253101</v>
      </c>
      <c r="I1116" s="20">
        <f t="shared" ref="I1116:I1179" ca="1" si="112">($D1116/OFFSET($D1116,-90,0)-1)*365/90</f>
        <v>0.13349934056193855</v>
      </c>
      <c r="J1116" s="20">
        <f t="shared" ca="1" si="109"/>
        <v>0.13677686331729449</v>
      </c>
      <c r="K1116" s="36">
        <v>13.5</v>
      </c>
    </row>
    <row r="1117" spans="1:11" x14ac:dyDescent="0.25">
      <c r="A1117" s="13" t="s">
        <v>7</v>
      </c>
      <c r="B1117" s="29">
        <v>45680</v>
      </c>
      <c r="C1117" s="20">
        <v>0.13194500000000001</v>
      </c>
      <c r="D1117" s="30">
        <f t="shared" ca="1" si="110"/>
        <v>153.99378649800153</v>
      </c>
      <c r="E1117" s="31">
        <f>+E1116*(1+C1116*F1117/365)</f>
        <v>153.99378649800153</v>
      </c>
      <c r="F1117" s="32">
        <f>IF(A1116="Working day",1,(IF(A1115="Working day",2,(IF(A1114="Working day",3,IF(A1113="Working day",4,IF(A1112="Working day",5,IF(A1111="Working day",6,7))))))))</f>
        <v>1</v>
      </c>
      <c r="G1117" s="20">
        <f t="shared" ca="1" si="111"/>
        <v>0.13081803485884216</v>
      </c>
      <c r="H1117" s="20">
        <f t="shared" ca="1" si="106"/>
        <v>0.13188781863449284</v>
      </c>
      <c r="I1117" s="20">
        <f t="shared" ca="1" si="112"/>
        <v>0.13346806620136895</v>
      </c>
      <c r="J1117" s="20">
        <f t="shared" ca="1" si="109"/>
        <v>0.13676099921982757</v>
      </c>
      <c r="K1117" s="36">
        <v>13.5</v>
      </c>
    </row>
    <row r="1118" spans="1:11" x14ac:dyDescent="0.25">
      <c r="A1118" s="13" t="s">
        <v>7</v>
      </c>
      <c r="B1118" s="29">
        <v>45681</v>
      </c>
      <c r="C1118" s="20">
        <v>0.13500000000000001</v>
      </c>
      <c r="D1118" s="30">
        <f t="shared" ca="1" si="110"/>
        <v>154.0494541970686</v>
      </c>
      <c r="E1118" s="31">
        <f>+E1117*(1+C1117*F1118/365)</f>
        <v>154.0494541970686</v>
      </c>
      <c r="F1118" s="32">
        <f>IF(A1117="Working day",1,(IF(A1116="Working day",2,(IF(A1115="Working day",3,IF(A1114="Working day",4,IF(A1113="Working day",5,IF(A1112="Working day",6,7))))))))</f>
        <v>1</v>
      </c>
      <c r="G1118" s="20">
        <f t="shared" ca="1" si="111"/>
        <v>0.1310964899247602</v>
      </c>
      <c r="H1118" s="20">
        <f t="shared" ca="1" si="106"/>
        <v>0.131953331433975</v>
      </c>
      <c r="I1118" s="20">
        <f t="shared" ca="1" si="112"/>
        <v>0.13343301761067164</v>
      </c>
      <c r="J1118" s="20">
        <f t="shared" ca="1" si="109"/>
        <v>0.13674348057569516</v>
      </c>
      <c r="K1118" s="36">
        <v>13.5</v>
      </c>
    </row>
    <row r="1119" spans="1:11" x14ac:dyDescent="0.25">
      <c r="A1119" s="23" t="s">
        <v>6</v>
      </c>
      <c r="B1119" s="24">
        <v>45682</v>
      </c>
      <c r="C1119" s="28">
        <v>0.13500000000000001</v>
      </c>
      <c r="D1119" s="25">
        <f t="shared" ca="1" si="110"/>
        <v>154.10643139245656</v>
      </c>
      <c r="E1119" s="26">
        <f>+E1118*(1+C1118*F1119/365)</f>
        <v>154.10643139245656</v>
      </c>
      <c r="F1119" s="27">
        <f>IF(A1118="Working day",1,(IF(A1117="Working day",2,(IF(A1116="Working day",3,IF(A1115="Working day",4,IF(A1114="Working day",5,6)))))))</f>
        <v>1</v>
      </c>
      <c r="G1119" s="28">
        <f t="shared" ca="1" si="111"/>
        <v>0.13181231652942857</v>
      </c>
      <c r="H1119" s="28">
        <f t="shared" ca="1" si="106"/>
        <v>0.13212174569736004</v>
      </c>
      <c r="I1119" s="28">
        <f t="shared" ca="1" si="112"/>
        <v>0.1334335902350631</v>
      </c>
      <c r="J1119" s="28">
        <f t="shared" ca="1" si="109"/>
        <v>0.13674348057569516</v>
      </c>
      <c r="K1119" s="36">
        <v>13.5</v>
      </c>
    </row>
    <row r="1120" spans="1:11" x14ac:dyDescent="0.25">
      <c r="A1120" s="23" t="s">
        <v>6</v>
      </c>
      <c r="B1120" s="24">
        <v>45683</v>
      </c>
      <c r="C1120" s="28">
        <v>0.13500000000000001</v>
      </c>
      <c r="D1120" s="25">
        <f t="shared" ca="1" si="110"/>
        <v>154.16340858784451</v>
      </c>
      <c r="E1120" s="26">
        <f>+E1118*(1+C1119*F1120/365)</f>
        <v>154.16340858784451</v>
      </c>
      <c r="F1120" s="27">
        <f>IF(A1119="Working day",1,(IF(A1118="Working day",2,(IF(A1117="Working day",3,IF(A1116="Working day",4,IF(A1115="Working day",5,6)))))))</f>
        <v>2</v>
      </c>
      <c r="G1120" s="28">
        <f t="shared" ca="1" si="111"/>
        <v>0.13252763359317718</v>
      </c>
      <c r="H1120" s="28">
        <f t="shared" ref="H1120:H1189" ca="1" si="113">($D1120/OFFSET($D1120,-30,0)-1)*365/30</f>
        <v>0.13228848103017904</v>
      </c>
      <c r="I1120" s="28">
        <f t="shared" ca="1" si="112"/>
        <v>0.13343416243633982</v>
      </c>
      <c r="J1120" s="28">
        <f t="shared" ca="1" si="109"/>
        <v>0.13674318469102595</v>
      </c>
      <c r="K1120" s="36">
        <v>13.5</v>
      </c>
    </row>
    <row r="1121" spans="1:11" x14ac:dyDescent="0.25">
      <c r="A1121" s="13" t="s">
        <v>7</v>
      </c>
      <c r="B1121" s="29">
        <v>45684</v>
      </c>
      <c r="C1121" s="20">
        <v>0.13294600000000001</v>
      </c>
      <c r="D1121" s="30">
        <f t="shared" ca="1" si="110"/>
        <v>154.22038578323247</v>
      </c>
      <c r="E1121" s="31">
        <f>+E1118*(1+C1120*F1121/365)</f>
        <v>154.22038578323247</v>
      </c>
      <c r="F1121" s="32">
        <f>IF(A1120="Working day",1,(IF(A1119="Working day",2,(IF(A1118="Working day",3,IF(A1117="Working day",4,IF(A1116="Working day",5,IF(A1115="Working day",6,7))))))))</f>
        <v>3</v>
      </c>
      <c r="G1121" s="20">
        <f t="shared" ca="1" si="111"/>
        <v>0.13324244165986129</v>
      </c>
      <c r="H1121" s="20">
        <f t="shared" ca="1" si="113"/>
        <v>0.13211670560541669</v>
      </c>
      <c r="I1121" s="20">
        <f t="shared" ca="1" si="112"/>
        <v>0.13343301761067164</v>
      </c>
      <c r="J1121" s="20">
        <f t="shared" ca="1" si="109"/>
        <v>0.13674090366172706</v>
      </c>
      <c r="K1121" s="36">
        <v>13.5</v>
      </c>
    </row>
    <row r="1122" spans="1:11" x14ac:dyDescent="0.25">
      <c r="A1122" s="13" t="s">
        <v>7</v>
      </c>
      <c r="B1122" s="29">
        <v>45685</v>
      </c>
      <c r="C1122" s="20">
        <v>0.133355</v>
      </c>
      <c r="D1122" s="30">
        <f t="shared" ca="1" si="110"/>
        <v>154.27655834051561</v>
      </c>
      <c r="E1122" s="31">
        <f>+E1121*(1+C1121*F1122/365)</f>
        <v>154.27655834051561</v>
      </c>
      <c r="F1122" s="32">
        <f>IF(A1121="Working day",1,(IF(A1120="Working day",2,(IF(A1119="Working day",3,IF(A1118="Working day",4,IF(A1117="Working day",5,IF(A1116="Working day",6,7))))))))</f>
        <v>1</v>
      </c>
      <c r="G1122" s="20">
        <f t="shared" ca="1" si="111"/>
        <v>0.13366422400964686</v>
      </c>
      <c r="H1122" s="20">
        <f t="shared" ca="1" si="113"/>
        <v>0.13188091808292707</v>
      </c>
      <c r="I1122" s="20">
        <f t="shared" ca="1" si="112"/>
        <v>0.13342618001044559</v>
      </c>
      <c r="J1122" s="20">
        <f t="shared" ca="1" si="109"/>
        <v>0.13672872755871998</v>
      </c>
      <c r="K1122" s="36">
        <v>13.5</v>
      </c>
    </row>
    <row r="1123" spans="1:11" x14ac:dyDescent="0.25">
      <c r="A1123" s="13" t="s">
        <v>7</v>
      </c>
      <c r="B1123" s="29">
        <v>45686</v>
      </c>
      <c r="C1123" s="20">
        <v>0.13053000000000001</v>
      </c>
      <c r="D1123" s="30">
        <f t="shared" ca="1" si="110"/>
        <v>154.33292423212518</v>
      </c>
      <c r="E1123" s="31">
        <f>+E1122*(1+C1122*F1123/365)</f>
        <v>154.33292423212518</v>
      </c>
      <c r="F1123" s="32">
        <f>IF(A1122="Working day",1,(IF(A1121="Working day",2,(IF(A1120="Working day",3,IF(A1119="Working day",4,IF(A1118="Working day",5,IF(A1117="Working day",6,7))))))))</f>
        <v>1</v>
      </c>
      <c r="G1123" s="20">
        <f t="shared" ca="1" si="111"/>
        <v>0.13377117299366509</v>
      </c>
      <c r="H1123" s="20">
        <f t="shared" ca="1" si="113"/>
        <v>0.13166071746267405</v>
      </c>
      <c r="I1123" s="20">
        <f t="shared" ca="1" si="112"/>
        <v>0.13343943075607864</v>
      </c>
      <c r="J1123" s="20">
        <f t="shared" ca="1" si="109"/>
        <v>0.13674201226356236</v>
      </c>
      <c r="K1123" s="36">
        <v>13.5</v>
      </c>
    </row>
    <row r="1124" spans="1:11" x14ac:dyDescent="0.25">
      <c r="A1124" s="13" t="s">
        <v>7</v>
      </c>
      <c r="B1124" s="29">
        <v>45687</v>
      </c>
      <c r="C1124" s="20">
        <v>0.13500000000000001</v>
      </c>
      <c r="D1124" s="30">
        <f t="shared" ca="1" si="110"/>
        <v>154.38811622281014</v>
      </c>
      <c r="E1124" s="31">
        <f>+E1123*(1+C1123*F1124/365)</f>
        <v>154.38811622281014</v>
      </c>
      <c r="F1124" s="32">
        <f>IF(A1123="Working day",1,(IF(A1122="Working day",2,(IF(A1121="Working day",3,IF(A1120="Working day",4,IF(A1119="Working day",5,IF(A1118="Working day",6,7))))))))</f>
        <v>1</v>
      </c>
      <c r="G1124" s="20">
        <f t="shared" ca="1" si="111"/>
        <v>0.13352148145370429</v>
      </c>
      <c r="H1124" s="20">
        <f t="shared" ca="1" si="113"/>
        <v>0.13134717668952145</v>
      </c>
      <c r="I1124" s="20">
        <f t="shared" ca="1" si="112"/>
        <v>0.13337142231228938</v>
      </c>
      <c r="J1124" s="20">
        <f t="shared" ca="1" si="109"/>
        <v>0.1367388293764881</v>
      </c>
      <c r="K1124" s="36">
        <v>13.5</v>
      </c>
    </row>
    <row r="1125" spans="1:11" x14ac:dyDescent="0.25">
      <c r="A1125" s="13" t="s">
        <v>7</v>
      </c>
      <c r="B1125" s="29">
        <v>45688</v>
      </c>
      <c r="C1125" s="20">
        <v>0.13500000000000001</v>
      </c>
      <c r="D1125" s="30">
        <f t="shared" ca="1" si="110"/>
        <v>154.44521867675556</v>
      </c>
      <c r="E1125" s="31">
        <f>+E1124*(1+C1124*F1125/365)</f>
        <v>154.44521867675556</v>
      </c>
      <c r="F1125" s="32">
        <f>IF(A1124="Working day",1,(IF(A1123="Working day",2,(IF(A1122="Working day",3,IF(A1121="Working day",4,IF(A1120="Working day",5,IF(A1119="Working day",6,7))))))))</f>
        <v>1</v>
      </c>
      <c r="G1125" s="20">
        <f t="shared" ca="1" si="111"/>
        <v>0.13395886946886251</v>
      </c>
      <c r="H1125" s="20">
        <f t="shared" ca="1" si="113"/>
        <v>0.13118599849931978</v>
      </c>
      <c r="I1125" s="20">
        <f t="shared" ca="1" si="112"/>
        <v>0.1333933229885019</v>
      </c>
      <c r="J1125" s="20">
        <f t="shared" ca="1" si="109"/>
        <v>0.13676242379825174</v>
      </c>
      <c r="K1125" s="36">
        <v>13.5</v>
      </c>
    </row>
    <row r="1126" spans="1:11" x14ac:dyDescent="0.25">
      <c r="A1126" s="23" t="s">
        <v>6</v>
      </c>
      <c r="B1126" s="24">
        <v>45689</v>
      </c>
      <c r="C1126" s="28">
        <v>0.13500000000000001</v>
      </c>
      <c r="D1126" s="25">
        <f t="shared" ca="1" si="110"/>
        <v>154.50234225078668</v>
      </c>
      <c r="E1126" s="26">
        <f>+E1125*(1+C1125*F1126/365)</f>
        <v>154.50234225078668</v>
      </c>
      <c r="F1126" s="27">
        <f>IF(A1125="Working day",1,(IF(A1124="Working day",2,(IF(A1123="Working day",3,IF(A1122="Working day",4,IF(A1121="Working day",5,6)))))))</f>
        <v>1</v>
      </c>
      <c r="G1126" s="28">
        <f t="shared" ca="1" si="111"/>
        <v>0.13395886946886251</v>
      </c>
      <c r="H1126" s="28">
        <f t="shared" ca="1" si="113"/>
        <v>0.13102662473283141</v>
      </c>
      <c r="I1126" s="28">
        <f t="shared" ca="1" si="112"/>
        <v>0.13341578032689858</v>
      </c>
      <c r="J1126" s="28">
        <f t="shared" ca="1" si="109"/>
        <v>0.13677269123745175</v>
      </c>
      <c r="K1126" s="36">
        <v>13.5</v>
      </c>
    </row>
    <row r="1127" spans="1:11" x14ac:dyDescent="0.25">
      <c r="A1127" s="23" t="s">
        <v>6</v>
      </c>
      <c r="B1127" s="24">
        <v>45690</v>
      </c>
      <c r="C1127" s="28">
        <v>0.13500000000000001</v>
      </c>
      <c r="D1127" s="25">
        <f t="shared" ca="1" si="110"/>
        <v>154.55946582481783</v>
      </c>
      <c r="E1127" s="26">
        <f>+E1125*(1+C1126*F1127/365)</f>
        <v>154.55946582481783</v>
      </c>
      <c r="F1127" s="27">
        <f>IF(A1126="Working day",1,(IF(A1125="Working day",2,(IF(A1124="Working day",3,IF(A1123="Working day",4,IF(A1122="Working day",5,6)))))))</f>
        <v>2</v>
      </c>
      <c r="G1127" s="28">
        <f t="shared" ca="1" si="111"/>
        <v>0.13395886946886251</v>
      </c>
      <c r="H1127" s="28">
        <f t="shared" ca="1" si="113"/>
        <v>0.13086737289829506</v>
      </c>
      <c r="I1127" s="28">
        <f t="shared" ca="1" si="112"/>
        <v>0.13343822130582342</v>
      </c>
      <c r="J1127" s="28">
        <f t="shared" ca="1" si="109"/>
        <v>0.13677239534878924</v>
      </c>
      <c r="K1127" s="36">
        <v>13.5</v>
      </c>
    </row>
    <row r="1128" spans="1:11" x14ac:dyDescent="0.25">
      <c r="A1128" s="13" t="s">
        <v>7</v>
      </c>
      <c r="B1128" s="29">
        <v>45691</v>
      </c>
      <c r="C1128" s="20">
        <v>0.13</v>
      </c>
      <c r="D1128" s="30">
        <f t="shared" ca="1" si="110"/>
        <v>154.61658939884896</v>
      </c>
      <c r="E1128" s="31">
        <f>+E1125*(1+C1127*F1128/365)</f>
        <v>154.61658939884896</v>
      </c>
      <c r="F1128" s="32">
        <f>IF(A1127="Working day",1,(IF(A1126="Working day",2,(IF(A1125="Working day",3,IF(A1124="Working day",4,IF(A1123="Working day",5,IF(A1122="Working day",6,7))))))))</f>
        <v>3</v>
      </c>
      <c r="G1128" s="20">
        <f t="shared" ca="1" si="111"/>
        <v>0.13395886946886251</v>
      </c>
      <c r="H1128" s="20">
        <f t="shared" ca="1" si="113"/>
        <v>0.13096505111075241</v>
      </c>
      <c r="I1128" s="20">
        <f t="shared" ca="1" si="112"/>
        <v>0.13358976886712928</v>
      </c>
      <c r="J1128" s="20">
        <f t="shared" ca="1" si="109"/>
        <v>0.13697930648912274</v>
      </c>
      <c r="K1128" s="36">
        <v>13.5</v>
      </c>
    </row>
    <row r="1129" spans="1:11" x14ac:dyDescent="0.25">
      <c r="A1129" s="13" t="s">
        <v>7</v>
      </c>
      <c r="B1129" s="29">
        <v>45692</v>
      </c>
      <c r="C1129" s="20">
        <v>0.125</v>
      </c>
      <c r="D1129" s="30">
        <f t="shared" ca="1" si="110"/>
        <v>154.67165832110061</v>
      </c>
      <c r="E1129" s="31">
        <f>+E1128*(1+C1128*F1129/365)</f>
        <v>154.67165832110061</v>
      </c>
      <c r="F1129" s="32">
        <f>IF(A1128="Working day",1,(IF(A1127="Working day",2,(IF(A1126="Working day",3,IF(A1125="Working day",4,IF(A1124="Working day",5,IF(A1123="Working day",6,7))))))))</f>
        <v>1</v>
      </c>
      <c r="G1129" s="20">
        <f t="shared" ca="1" si="111"/>
        <v>0.13353708474179271</v>
      </c>
      <c r="H1129" s="20">
        <f t="shared" ca="1" si="113"/>
        <v>0.13113345414694477</v>
      </c>
      <c r="I1129" s="20">
        <f t="shared" ca="1" si="112"/>
        <v>0.13365243546271682</v>
      </c>
      <c r="J1129" s="20">
        <f t="shared" ca="1" si="109"/>
        <v>0.13700902761928324</v>
      </c>
      <c r="K1129" s="36">
        <v>13.5</v>
      </c>
    </row>
    <row r="1130" spans="1:11" x14ac:dyDescent="0.25">
      <c r="A1130" s="13" t="s">
        <v>7</v>
      </c>
      <c r="B1130" s="29">
        <v>45693</v>
      </c>
      <c r="C1130" s="20">
        <v>0.119375</v>
      </c>
      <c r="D1130" s="30">
        <f t="shared" ca="1" si="110"/>
        <v>154.72462806710098</v>
      </c>
      <c r="E1130" s="31">
        <f>+E1129*(1+C1129*F1130/365)</f>
        <v>154.72462806710098</v>
      </c>
      <c r="F1130" s="32">
        <f>IF(A1129="Working day",1,(IF(A1128="Working day",2,(IF(A1127="Working day",3,IF(A1126="Working day",4,IF(A1125="Working day",5,IF(A1124="Working day",6,7))))))))</f>
        <v>1</v>
      </c>
      <c r="G1130" s="20">
        <f t="shared" ca="1" si="111"/>
        <v>0.13234089363027279</v>
      </c>
      <c r="H1130" s="20">
        <f t="shared" ca="1" si="113"/>
        <v>0.13113489548006474</v>
      </c>
      <c r="I1130" s="20">
        <f t="shared" ca="1" si="112"/>
        <v>0.13367975369420268</v>
      </c>
      <c r="J1130" s="20">
        <f t="shared" ca="1" si="109"/>
        <v>0.13695595347655859</v>
      </c>
      <c r="K1130" s="36">
        <v>13.5</v>
      </c>
    </row>
    <row r="1131" spans="1:11" x14ac:dyDescent="0.25">
      <c r="A1131" s="13" t="s">
        <v>7</v>
      </c>
      <c r="B1131" s="29">
        <v>45694</v>
      </c>
      <c r="C1131" s="20">
        <v>0.13</v>
      </c>
      <c r="D1131" s="30">
        <f t="shared" ca="1" si="110"/>
        <v>154.77523149854071</v>
      </c>
      <c r="E1131" s="31">
        <f>+E1130*(1+C1130*F1131/365)</f>
        <v>154.77523149854071</v>
      </c>
      <c r="F1131" s="32">
        <f>IF(A1130="Working day",1,(IF(A1129="Working day",2,(IF(A1128="Working day",3,IF(A1127="Working day",4,IF(A1126="Working day",5,IF(A1125="Working day",6,7))))))))</f>
        <v>1</v>
      </c>
      <c r="G1131" s="20">
        <f t="shared" ca="1" si="111"/>
        <v>0.13074384877593462</v>
      </c>
      <c r="H1131" s="20">
        <f t="shared" ca="1" si="113"/>
        <v>0.13111384452154065</v>
      </c>
      <c r="I1131" s="20">
        <f t="shared" ca="1" si="112"/>
        <v>0.13358447904917109</v>
      </c>
      <c r="J1131" s="20">
        <f t="shared" ca="1" si="109"/>
        <v>0.13686982357836006</v>
      </c>
      <c r="K1131" s="36">
        <v>13.5</v>
      </c>
    </row>
    <row r="1132" spans="1:11" x14ac:dyDescent="0.25">
      <c r="A1132" s="13" t="s">
        <v>7</v>
      </c>
      <c r="B1132" s="29">
        <v>45695</v>
      </c>
      <c r="C1132" s="20">
        <v>0.13</v>
      </c>
      <c r="D1132" s="30">
        <f t="shared" ca="1" si="110"/>
        <v>154.830356923458</v>
      </c>
      <c r="E1132" s="31">
        <f>+E1131*(1+C1131*F1132/365)</f>
        <v>154.830356923458</v>
      </c>
      <c r="F1132" s="32">
        <f>IF(A1131="Working day",1,(IF(A1130="Working day",2,(IF(A1129="Working day",3,IF(A1128="Working day",4,IF(A1127="Working day",5,IF(A1126="Working day",6,7))))))))</f>
        <v>1</v>
      </c>
      <c r="G1132" s="20">
        <f t="shared" ca="1" si="111"/>
        <v>0.13002803680240077</v>
      </c>
      <c r="H1132" s="20">
        <f t="shared" ca="1" si="113"/>
        <v>0.13145065928137889</v>
      </c>
      <c r="I1132" s="20">
        <f t="shared" ca="1" si="112"/>
        <v>0.13358447904917109</v>
      </c>
      <c r="J1132" s="20">
        <f t="shared" ca="1" si="109"/>
        <v>0.13684697711183222</v>
      </c>
      <c r="K1132" s="36">
        <v>13.5</v>
      </c>
    </row>
    <row r="1133" spans="1:11" x14ac:dyDescent="0.25">
      <c r="A1133" s="23" t="s">
        <v>6</v>
      </c>
      <c r="B1133" s="24">
        <v>45696</v>
      </c>
      <c r="C1133" s="28">
        <v>0.13</v>
      </c>
      <c r="D1133" s="25">
        <f t="shared" ca="1" si="110"/>
        <v>154.88550198208827</v>
      </c>
      <c r="E1133" s="26">
        <f>+E1132*(1+C1132*F1133/365)</f>
        <v>154.88550198208827</v>
      </c>
      <c r="F1133" s="27">
        <f>IF(A1132="Working day",1,(IF(A1131="Working day",2,(IF(A1130="Working day",3,IF(A1129="Working day",4,IF(A1128="Working day",5,6)))))))</f>
        <v>1</v>
      </c>
      <c r="G1133" s="28">
        <f t="shared" ca="1" si="111"/>
        <v>0.12931223463088201</v>
      </c>
      <c r="H1133" s="28">
        <f t="shared" ca="1" si="113"/>
        <v>0.13178748326598316</v>
      </c>
      <c r="I1133" s="28">
        <f t="shared" ca="1" si="112"/>
        <v>0.13358501007617171</v>
      </c>
      <c r="J1133" s="28">
        <f t="shared" ca="1" si="109"/>
        <v>0.13681733568119839</v>
      </c>
      <c r="K1133" s="36">
        <v>13.5</v>
      </c>
    </row>
    <row r="1134" spans="1:11" x14ac:dyDescent="0.25">
      <c r="A1134" s="23" t="s">
        <v>6</v>
      </c>
      <c r="B1134" s="24">
        <v>45697</v>
      </c>
      <c r="C1134" s="28">
        <v>0.13</v>
      </c>
      <c r="D1134" s="25">
        <f t="shared" ca="1" si="110"/>
        <v>154.94064704071855</v>
      </c>
      <c r="E1134" s="26">
        <f>+E1132*(1+C1133*F1134/365)</f>
        <v>154.94064704071855</v>
      </c>
      <c r="F1134" s="27">
        <f>IF(A1133="Working day",1,(IF(A1132="Working day",2,(IF(A1131="Working day",3,IF(A1130="Working day",4,IF(A1129="Working day",5,6)))))))</f>
        <v>2</v>
      </c>
      <c r="G1134" s="28">
        <f t="shared" ca="1" si="111"/>
        <v>0.12859696156545727</v>
      </c>
      <c r="H1134" s="28">
        <f t="shared" ca="1" si="113"/>
        <v>0.13178592428005215</v>
      </c>
      <c r="I1134" s="28">
        <f t="shared" ca="1" si="112"/>
        <v>0.13358554072530934</v>
      </c>
      <c r="J1134" s="28">
        <f t="shared" ca="1" si="109"/>
        <v>0.13679638362929733</v>
      </c>
      <c r="K1134" s="36">
        <v>13.5</v>
      </c>
    </row>
    <row r="1135" spans="1:11" x14ac:dyDescent="0.25">
      <c r="A1135" s="13" t="s">
        <v>7</v>
      </c>
      <c r="B1135" s="29">
        <v>45698</v>
      </c>
      <c r="C1135" s="20">
        <v>0.13</v>
      </c>
      <c r="D1135" s="30">
        <f t="shared" ca="1" si="110"/>
        <v>154.99579209934882</v>
      </c>
      <c r="E1135" s="31">
        <f>+E1132*(1+C1134*F1135/365)</f>
        <v>154.99579209934882</v>
      </c>
      <c r="F1135" s="32">
        <f>IF(A1134="Working day",1,(IF(A1133="Working day",2,(IF(A1132="Working day",3,IF(A1131="Working day",4,IF(A1130="Working day",5,IF(A1129="Working day",6,7))))))))</f>
        <v>3</v>
      </c>
      <c r="G1135" s="20">
        <f t="shared" ca="1" si="111"/>
        <v>0.12788221701969885</v>
      </c>
      <c r="H1135" s="20">
        <f t="shared" ca="1" si="113"/>
        <v>0.13178280741829723</v>
      </c>
      <c r="I1135" s="20">
        <f t="shared" ca="1" si="112"/>
        <v>0.13353967742540709</v>
      </c>
      <c r="J1135" s="20">
        <f t="shared" ca="1" si="109"/>
        <v>0.13678062332564236</v>
      </c>
      <c r="K1135" s="36">
        <v>13.5</v>
      </c>
    </row>
    <row r="1136" spans="1:11" ht="15.75" customHeight="1" x14ac:dyDescent="0.25">
      <c r="A1136" s="13" t="s">
        <v>7</v>
      </c>
      <c r="B1136" s="29">
        <v>45699</v>
      </c>
      <c r="C1136" s="20">
        <v>0.13</v>
      </c>
      <c r="D1136" s="30">
        <f t="shared" ca="1" si="110"/>
        <v>155.05099608009652</v>
      </c>
      <c r="E1136" s="31">
        <f>+E1135*(1+C1135*F1136/365)</f>
        <v>155.05099608009652</v>
      </c>
      <c r="F1136" s="32">
        <f>IF(A1135="Working day",1,(IF(A1134="Working day",2,(IF(A1133="Working day",3,IF(A1132="Working day",4,IF(A1131="Working day",5,IF(A1130="Working day",6,7))))))))</f>
        <v>1</v>
      </c>
      <c r="G1136" s="20">
        <f t="shared" ca="1" si="111"/>
        <v>0.12788221701969885</v>
      </c>
      <c r="H1136" s="20">
        <f t="shared" ca="1" si="113"/>
        <v>0.13178436640383651</v>
      </c>
      <c r="I1136" s="20">
        <f t="shared" ca="1" si="112"/>
        <v>0.13350466246693879</v>
      </c>
      <c r="J1136" s="20">
        <f t="shared" ca="1" si="109"/>
        <v>0.136753739337939</v>
      </c>
      <c r="K1136" s="36">
        <v>13.5</v>
      </c>
    </row>
    <row r="1137" spans="1:11" x14ac:dyDescent="0.25">
      <c r="A1137" s="13" t="s">
        <v>7</v>
      </c>
      <c r="B1137" s="29">
        <v>45700</v>
      </c>
      <c r="C1137" s="20">
        <v>0.115</v>
      </c>
      <c r="D1137" s="30">
        <f t="shared" ca="1" si="110"/>
        <v>155.10621972253603</v>
      </c>
      <c r="E1137" s="31">
        <f>+E1136*(1+C1136*F1137/365)</f>
        <v>155.10621972253603</v>
      </c>
      <c r="F1137" s="32">
        <f>IF(A1136="Working day",1,(IF(A1135="Working day",2,(IF(A1134="Working day",3,IF(A1133="Working day",4,IF(A1132="Working day",5,IF(A1131="Working day",6,7))))))))</f>
        <v>1</v>
      </c>
      <c r="G1137" s="20">
        <f t="shared" ca="1" si="111"/>
        <v>0.12859800941080715</v>
      </c>
      <c r="H1137" s="20">
        <f t="shared" ca="1" si="113"/>
        <v>0.13178748326598586</v>
      </c>
      <c r="I1137" s="20">
        <f t="shared" ca="1" si="112"/>
        <v>0.13349175561670792</v>
      </c>
      <c r="J1137" s="20">
        <f t="shared" ca="1" si="109"/>
        <v>0.13673050138856677</v>
      </c>
      <c r="K1137" s="36">
        <v>13.5</v>
      </c>
    </row>
    <row r="1138" spans="1:11" x14ac:dyDescent="0.25">
      <c r="A1138" s="13" t="s">
        <v>7</v>
      </c>
      <c r="B1138" s="29">
        <v>45701</v>
      </c>
      <c r="C1138" s="20">
        <v>0.13</v>
      </c>
      <c r="D1138" s="30">
        <f t="shared" ca="1" si="110"/>
        <v>155.15508880546233</v>
      </c>
      <c r="E1138" s="31">
        <f>+E1137*(1+C1137*F1138/365)</f>
        <v>155.15508880546233</v>
      </c>
      <c r="F1138" s="32">
        <f>IF(A1137="Working day",1,(IF(A1136="Working day",2,(IF(A1135="Working day",3,IF(A1134="Working day",4,IF(A1133="Working day",5,IF(A1132="Working day",6,7))))))))</f>
        <v>1</v>
      </c>
      <c r="G1138" s="20">
        <f t="shared" ca="1" si="111"/>
        <v>0.12797167284270003</v>
      </c>
      <c r="H1138" s="20">
        <f t="shared" ca="1" si="113"/>
        <v>0.13126995373098457</v>
      </c>
      <c r="I1138" s="20">
        <f t="shared" ca="1" si="112"/>
        <v>0.13330644825030152</v>
      </c>
      <c r="J1138" s="20">
        <f t="shared" ca="1" si="109"/>
        <v>0.13661863507304728</v>
      </c>
      <c r="K1138" s="36">
        <v>13.5</v>
      </c>
    </row>
    <row r="1139" spans="1:11" x14ac:dyDescent="0.25">
      <c r="A1139" s="13" t="s">
        <v>7</v>
      </c>
      <c r="B1139" s="29">
        <v>45702</v>
      </c>
      <c r="C1139" s="20">
        <v>0.13</v>
      </c>
      <c r="D1139" s="30">
        <f t="shared" ca="1" si="110"/>
        <v>155.21034952202319</v>
      </c>
      <c r="E1139" s="31">
        <f>+E1138*(1+C1138*F1139/365)</f>
        <v>155.21034952202319</v>
      </c>
      <c r="F1139" s="32">
        <f>IF(A1138="Working day",1,(IF(A1137="Working day",2,(IF(A1136="Working day",3,IF(A1135="Working day",4,IF(A1134="Working day",5,IF(A1133="Working day",6,7))))))))</f>
        <v>1</v>
      </c>
      <c r="G1139" s="20">
        <f t="shared" ca="1" si="111"/>
        <v>0.12797167284270003</v>
      </c>
      <c r="H1139" s="20">
        <f t="shared" ca="1" si="113"/>
        <v>0.13126149981054883</v>
      </c>
      <c r="I1139" s="20">
        <f t="shared" ca="1" si="112"/>
        <v>0.13328525911496744</v>
      </c>
      <c r="J1139" s="20">
        <f t="shared" ca="1" si="109"/>
        <v>0.13659598066329764</v>
      </c>
      <c r="K1139" s="36">
        <v>13.5</v>
      </c>
    </row>
    <row r="1140" spans="1:11" x14ac:dyDescent="0.25">
      <c r="A1140" s="23" t="s">
        <v>6</v>
      </c>
      <c r="B1140" s="24">
        <v>45703</v>
      </c>
      <c r="C1140" s="28">
        <v>0.13</v>
      </c>
      <c r="D1140" s="25">
        <f t="shared" ca="1" si="110"/>
        <v>155.26562992048309</v>
      </c>
      <c r="E1140" s="26">
        <f>+E1139*(1+C1139*F1140/365)</f>
        <v>155.26562992048309</v>
      </c>
      <c r="F1140" s="27">
        <f>IF(A1139="Working day",1,(IF(A1138="Working day",2,(IF(A1137="Working day",3,IF(A1136="Working day",4,IF(A1135="Working day",5,6)))))))</f>
        <v>1</v>
      </c>
      <c r="G1140" s="28">
        <f t="shared" ca="1" si="111"/>
        <v>0.12797167284270003</v>
      </c>
      <c r="H1140" s="28">
        <f t="shared" ca="1" si="113"/>
        <v>0.13126149981054883</v>
      </c>
      <c r="I1140" s="28">
        <f t="shared" ca="1" si="112"/>
        <v>0.13326461626304342</v>
      </c>
      <c r="J1140" s="28">
        <f t="shared" ca="1" si="109"/>
        <v>0.13656835802754361</v>
      </c>
      <c r="K1140" s="36">
        <v>13.5</v>
      </c>
    </row>
    <row r="1141" spans="1:11" x14ac:dyDescent="0.25">
      <c r="A1141" s="23" t="s">
        <v>6</v>
      </c>
      <c r="B1141" s="24">
        <v>45704</v>
      </c>
      <c r="C1141" s="28">
        <v>0.13</v>
      </c>
      <c r="D1141" s="25">
        <f t="shared" ca="1" si="110"/>
        <v>155.32091031894299</v>
      </c>
      <c r="E1141" s="26">
        <f>+E1139*(1+C1140*F1141/365)</f>
        <v>155.32091031894299</v>
      </c>
      <c r="F1141" s="27">
        <f>IF(A1140="Working day",1,(IF(A1139="Working day",2,(IF(A1138="Working day",3,IF(A1137="Working day",4,IF(A1136="Working day",5,6)))))))</f>
        <v>2</v>
      </c>
      <c r="G1141" s="28">
        <f t="shared" ca="1" si="111"/>
        <v>0.12797167284270003</v>
      </c>
      <c r="H1141" s="28">
        <f t="shared" ca="1" si="113"/>
        <v>0.1312599408912892</v>
      </c>
      <c r="I1141" s="28">
        <f t="shared" ca="1" si="112"/>
        <v>0.13324398830839115</v>
      </c>
      <c r="J1141" s="28">
        <f t="shared" ca="1" si="109"/>
        <v>0.13653868315514764</v>
      </c>
      <c r="K1141" s="36">
        <v>13.5</v>
      </c>
    </row>
    <row r="1142" spans="1:11" x14ac:dyDescent="0.25">
      <c r="A1142" s="13" t="s">
        <v>7</v>
      </c>
      <c r="B1142" s="29">
        <v>45705</v>
      </c>
      <c r="C1142" s="20">
        <v>0.13</v>
      </c>
      <c r="D1142" s="30">
        <f t="shared" ca="1" si="110"/>
        <v>155.37619071740289</v>
      </c>
      <c r="E1142" s="31">
        <f>+E1139*(1+C1141*F1142/365)</f>
        <v>155.37619071740289</v>
      </c>
      <c r="F1142" s="32">
        <f>IF(A1141="Working day",1,(IF(A1140="Working day",2,(IF(A1139="Working day",3,IF(A1138="Working day",4,IF(A1137="Working day",5,IF(A1136="Working day",6,7))))))))</f>
        <v>3</v>
      </c>
      <c r="G1142" s="20">
        <f t="shared" ca="1" si="111"/>
        <v>0.12797167284270003</v>
      </c>
      <c r="H1142" s="20">
        <f t="shared" ca="1" si="113"/>
        <v>0.13125682416283921</v>
      </c>
      <c r="I1142" s="20">
        <f t="shared" ca="1" si="112"/>
        <v>0.13321750475649508</v>
      </c>
      <c r="J1142" s="20">
        <f t="shared" ref="J1142:J1210" ca="1" si="114">($D1142/OFFSET($D1142,-180,0)-1)*365/180</f>
        <v>0.13653284137728075</v>
      </c>
      <c r="K1142" s="36">
        <v>13.5</v>
      </c>
    </row>
    <row r="1143" spans="1:11" x14ac:dyDescent="0.25">
      <c r="A1143" s="13" t="s">
        <v>7</v>
      </c>
      <c r="B1143" s="29">
        <v>45706</v>
      </c>
      <c r="C1143" s="20">
        <v>0.13</v>
      </c>
      <c r="D1143" s="30">
        <f t="shared" ca="1" si="110"/>
        <v>155.43153018258991</v>
      </c>
      <c r="E1143" s="31">
        <f>+E1142*(1+C1142*F1143/365)</f>
        <v>155.43153018258991</v>
      </c>
      <c r="F1143" s="32">
        <f>IF(A1142="Working day",1,(IF(A1141="Working day",2,(IF(A1140="Working day",3,IF(A1139="Working day",4,IF(A1138="Working day",5,IF(A1137="Working day",6,7))))))))</f>
        <v>1</v>
      </c>
      <c r="G1143" s="20">
        <f t="shared" ca="1" si="111"/>
        <v>0.1279716728427116</v>
      </c>
      <c r="H1143" s="20">
        <f t="shared" ca="1" si="113"/>
        <v>0.13125838308170171</v>
      </c>
      <c r="I1143" s="20">
        <f t="shared" ca="1" si="112"/>
        <v>0.13319596044256043</v>
      </c>
      <c r="J1143" s="20">
        <f t="shared" ca="1" si="114"/>
        <v>0.1365103526495213</v>
      </c>
      <c r="K1143" s="36">
        <v>13.5</v>
      </c>
    </row>
    <row r="1144" spans="1:11" x14ac:dyDescent="0.25">
      <c r="A1144" s="13" t="s">
        <v>7</v>
      </c>
      <c r="B1144" s="29">
        <v>45707</v>
      </c>
      <c r="C1144" s="20">
        <v>0.13</v>
      </c>
      <c r="D1144" s="30">
        <f t="shared" ca="1" si="110"/>
        <v>155.48688935772344</v>
      </c>
      <c r="E1144" s="31">
        <f>+E1143*(1+C1143*F1144/365)</f>
        <v>155.48688935772344</v>
      </c>
      <c r="F1144" s="32">
        <f>IF(A1143="Working day",1,(IF(#REF!="Working day",2,(IF(A1142="Working day",3,IF(A1141="Working day",4,IF(A1140="Working day",5,IF(A1139="Working day",6,7))))))))</f>
        <v>1</v>
      </c>
      <c r="G1144" s="20">
        <f t="shared" ca="1" si="111"/>
        <v>0.12797167284270003</v>
      </c>
      <c r="H1144" s="20">
        <f t="shared" ca="1" si="113"/>
        <v>0.13126149981054613</v>
      </c>
      <c r="I1144" s="20">
        <f t="shared" ca="1" si="112"/>
        <v>0.13317710064882468</v>
      </c>
      <c r="J1144" s="20">
        <f t="shared" ca="1" si="114"/>
        <v>0.1365103526495213</v>
      </c>
      <c r="K1144" s="36">
        <v>13.5</v>
      </c>
    </row>
    <row r="1145" spans="1:11" x14ac:dyDescent="0.25">
      <c r="A1145" s="13" t="s">
        <v>7</v>
      </c>
      <c r="B1145" s="29">
        <v>45708</v>
      </c>
      <c r="C1145" s="20">
        <v>0.13</v>
      </c>
      <c r="D1145" s="30">
        <f t="shared" ca="1" si="110"/>
        <v>155.54226824982345</v>
      </c>
      <c r="E1145" s="31">
        <f>+E1144*(1+C1144*F1145/365)</f>
        <v>155.54226824982345</v>
      </c>
      <c r="F1145" s="32">
        <f>IF(A1144="Working day",1,(IF(A1143="Working day",2,(IF(#REF!="Working day",3,IF(A1142="Working day",4,IF(A1141="Working day",5,IF(A1140="Working day",6,7))))))))</f>
        <v>1</v>
      </c>
      <c r="G1145" s="20">
        <f t="shared" ca="1" si="111"/>
        <v>0.13011911250481464</v>
      </c>
      <c r="H1145" s="20">
        <f t="shared" ca="1" si="113"/>
        <v>0.13126149981054613</v>
      </c>
      <c r="I1145" s="20">
        <f t="shared" ca="1" si="112"/>
        <v>0.1331570547571822</v>
      </c>
      <c r="J1145" s="20">
        <f t="shared" ca="1" si="114"/>
        <v>0.13651062700068267</v>
      </c>
      <c r="K1145" s="36">
        <v>13.5</v>
      </c>
    </row>
    <row r="1146" spans="1:11" x14ac:dyDescent="0.25">
      <c r="A1146" s="13" t="s">
        <v>7</v>
      </c>
      <c r="B1146" s="29">
        <v>45709</v>
      </c>
      <c r="C1146" s="20">
        <v>0.13</v>
      </c>
      <c r="D1146" s="30">
        <f t="shared" ca="1" si="110"/>
        <v>155.59766686591243</v>
      </c>
      <c r="E1146" s="31">
        <f>+E1145*(1+C1145*F1146/365)</f>
        <v>155.59766686591243</v>
      </c>
      <c r="F1146" s="32">
        <f>IF(A1145="Working day",1,(IF(A1144="Working day",2,(IF(A1143="Working day",3,IF(#REF!="Working day",4,IF(A1142="Working day",5,IF(A1141="Working day",6,7))))))))</f>
        <v>1</v>
      </c>
      <c r="G1146" s="20">
        <f t="shared" ca="1" si="111"/>
        <v>0.13011911250481464</v>
      </c>
      <c r="H1146" s="20">
        <f t="shared" ca="1" si="113"/>
        <v>0.13117366049968726</v>
      </c>
      <c r="I1146" s="20">
        <f t="shared" ca="1" si="112"/>
        <v>0.13314060420452253</v>
      </c>
      <c r="J1146" s="20">
        <f t="shared" ca="1" si="114"/>
        <v>0.13651117550785541</v>
      </c>
      <c r="K1146" s="36">
        <v>13.5</v>
      </c>
    </row>
    <row r="1147" spans="1:11" x14ac:dyDescent="0.25">
      <c r="A1147" s="23" t="s">
        <v>6</v>
      </c>
      <c r="B1147" s="24">
        <v>45710</v>
      </c>
      <c r="C1147" s="28">
        <v>0.13</v>
      </c>
      <c r="D1147" s="25">
        <f t="shared" ca="1" si="110"/>
        <v>155.65308521301537</v>
      </c>
      <c r="E1147" s="26">
        <f>+E1146*(1+C1146*F1147/365)</f>
        <v>155.65308521301537</v>
      </c>
      <c r="F1147" s="27">
        <f>IF(A1146="Working day",1,(IF(A1145="Working day",2,(IF(A1144="Working day",3,IF(A1143="Working day",4,IF(#REF!="Working day",5,6)))))))</f>
        <v>1</v>
      </c>
      <c r="G1147" s="28">
        <f t="shared" ca="1" si="111"/>
        <v>0.13011911250481464</v>
      </c>
      <c r="H1147" s="28">
        <f t="shared" ca="1" si="113"/>
        <v>0.13109707102541834</v>
      </c>
      <c r="I1147" s="28">
        <f t="shared" ca="1" si="112"/>
        <v>0.13312469645944738</v>
      </c>
      <c r="J1147" s="28">
        <f t="shared" ca="1" si="114"/>
        <v>0.13648153867554352</v>
      </c>
      <c r="K1147" s="36">
        <v>13.5</v>
      </c>
    </row>
    <row r="1148" spans="1:11" x14ac:dyDescent="0.25">
      <c r="A1148" s="23" t="s">
        <v>6</v>
      </c>
      <c r="B1148" s="24">
        <v>45711</v>
      </c>
      <c r="C1148" s="28">
        <v>0.13</v>
      </c>
      <c r="D1148" s="25">
        <f t="shared" ca="1" si="110"/>
        <v>155.70850356011829</v>
      </c>
      <c r="E1148" s="26">
        <f>+E1146*(1+C1147*F1148/365)</f>
        <v>155.70850356011829</v>
      </c>
      <c r="F1148" s="27">
        <f>IF(A1147="Working day",1,(IF(A1146="Working day",2,(IF(A1145="Working day",3,IF(A1144="Working day",4,IF(A1143="Working day",5,6)))))))</f>
        <v>2</v>
      </c>
      <c r="G1148" s="28">
        <f t="shared" ca="1" si="111"/>
        <v>0.13011911250481464</v>
      </c>
      <c r="H1148" s="28">
        <f t="shared" ca="1" si="113"/>
        <v>0.13103000389699201</v>
      </c>
      <c r="I1148" s="28">
        <f t="shared" ca="1" si="112"/>
        <v>0.13310880015854923</v>
      </c>
      <c r="J1148" s="28">
        <f t="shared" ca="1" si="114"/>
        <v>0.1365029824139708</v>
      </c>
      <c r="K1148" s="36">
        <v>13.5</v>
      </c>
    </row>
    <row r="1149" spans="1:11" x14ac:dyDescent="0.25">
      <c r="A1149" s="13" t="s">
        <v>7</v>
      </c>
      <c r="B1149" s="29">
        <v>45712</v>
      </c>
      <c r="C1149" s="20">
        <v>0.13</v>
      </c>
      <c r="D1149" s="30">
        <f t="shared" ca="1" si="110"/>
        <v>155.76392190722123</v>
      </c>
      <c r="E1149" s="31">
        <f>+E1146*(1+C1148*F1149/365)</f>
        <v>155.76392190722123</v>
      </c>
      <c r="F1149" s="32">
        <f t="shared" ref="F1149:F1180" si="115">IF(A1148="Working day",1,(IF(A1147="Working day",2,(IF(A1146="Working day",3,IF(A1145="Working day",4,IF(A1144="Working day",5,IF(A1143="Working day",6,7))))))))</f>
        <v>3</v>
      </c>
      <c r="G1149" s="20">
        <f t="shared" ca="1" si="111"/>
        <v>0.13011911250481464</v>
      </c>
      <c r="H1149" s="20">
        <f t="shared" ca="1" si="113"/>
        <v>0.13085848795594568</v>
      </c>
      <c r="I1149" s="20">
        <f t="shared" ca="1" si="112"/>
        <v>0.13310773860323297</v>
      </c>
      <c r="J1149" s="20">
        <f t="shared" ca="1" si="114"/>
        <v>0.13650243390887418</v>
      </c>
      <c r="K1149" s="36">
        <v>13.5</v>
      </c>
    </row>
    <row r="1150" spans="1:11" x14ac:dyDescent="0.25">
      <c r="A1150" s="13" t="s">
        <v>7</v>
      </c>
      <c r="B1150" s="29">
        <v>45713</v>
      </c>
      <c r="C1150" s="20">
        <v>0.13</v>
      </c>
      <c r="D1150" s="30">
        <f t="shared" ca="1" si="110"/>
        <v>155.81939946844847</v>
      </c>
      <c r="E1150" s="31">
        <f>+E1149*(1+C1149*F1150/365)</f>
        <v>155.81939946844847</v>
      </c>
      <c r="F1150" s="32">
        <f t="shared" si="115"/>
        <v>1</v>
      </c>
      <c r="G1150" s="20">
        <f t="shared" ca="1" si="111"/>
        <v>0.13011911250481464</v>
      </c>
      <c r="H1150" s="20">
        <f t="shared" ca="1" si="113"/>
        <v>0.13069177200935925</v>
      </c>
      <c r="I1150" s="20">
        <f t="shared" ca="1" si="112"/>
        <v>0.13310773860323297</v>
      </c>
      <c r="J1150" s="20">
        <f t="shared" ca="1" si="114"/>
        <v>0.13648274318652726</v>
      </c>
      <c r="K1150" s="36">
        <v>13.5</v>
      </c>
    </row>
    <row r="1151" spans="1:11" x14ac:dyDescent="0.25">
      <c r="A1151" s="13" t="s">
        <v>7</v>
      </c>
      <c r="B1151" s="29">
        <v>45714</v>
      </c>
      <c r="C1151" s="20">
        <v>0.13</v>
      </c>
      <c r="D1151" s="30">
        <f t="shared" ca="1" si="110"/>
        <v>155.87489678880709</v>
      </c>
      <c r="E1151" s="31">
        <f>+E1150*(1+C1150*F1151/365)</f>
        <v>155.87489678880709</v>
      </c>
      <c r="F1151" s="32">
        <f t="shared" si="115"/>
        <v>1</v>
      </c>
      <c r="G1151" s="20">
        <f t="shared" ca="1" si="111"/>
        <v>0.13011911250481464</v>
      </c>
      <c r="H1151" s="20">
        <f t="shared" ca="1" si="113"/>
        <v>0.13052673807632595</v>
      </c>
      <c r="I1151" s="20">
        <f t="shared" ca="1" si="112"/>
        <v>0.13311089332421899</v>
      </c>
      <c r="J1151" s="20">
        <f t="shared" ca="1" si="114"/>
        <v>0.13645310674355446</v>
      </c>
      <c r="K1151" s="36">
        <v>13.5</v>
      </c>
    </row>
    <row r="1152" spans="1:11" x14ac:dyDescent="0.25">
      <c r="A1152" s="13" t="s">
        <v>7</v>
      </c>
      <c r="B1152" s="29">
        <v>45715</v>
      </c>
      <c r="C1152" s="20">
        <v>0.12</v>
      </c>
      <c r="D1152" s="30">
        <f t="shared" ca="1" si="110"/>
        <v>155.93041387533461</v>
      </c>
      <c r="E1152" s="31">
        <f>+E1151*(1+C1151*F1152/365)</f>
        <v>155.93041387533461</v>
      </c>
      <c r="F1152" s="32">
        <f t="shared" si="115"/>
        <v>1</v>
      </c>
      <c r="G1152" s="20">
        <f t="shared" ca="1" si="111"/>
        <v>0.13011911250481464</v>
      </c>
      <c r="H1152" s="20">
        <f t="shared" ca="1" si="113"/>
        <v>0.13042752070312486</v>
      </c>
      <c r="I1152" s="20">
        <f t="shared" ca="1" si="112"/>
        <v>0.13307386296307872</v>
      </c>
      <c r="J1152" s="20">
        <f t="shared" ca="1" si="114"/>
        <v>0.13642376654737556</v>
      </c>
      <c r="K1152" s="36">
        <v>13.5</v>
      </c>
    </row>
    <row r="1153" spans="1:11" x14ac:dyDescent="0.25">
      <c r="A1153" s="13" t="s">
        <v>7</v>
      </c>
      <c r="B1153" s="29">
        <v>45716</v>
      </c>
      <c r="C1153" s="20">
        <v>0.117813</v>
      </c>
      <c r="D1153" s="30">
        <f t="shared" ca="1" si="110"/>
        <v>155.98167866893746</v>
      </c>
      <c r="E1153" s="31">
        <f>+E1152*(1+C1152*F1153/365)</f>
        <v>155.98167866893746</v>
      </c>
      <c r="F1153" s="32">
        <f t="shared" si="115"/>
        <v>1</v>
      </c>
      <c r="G1153" s="20">
        <f t="shared" ca="1" si="111"/>
        <v>0.12868748606340877</v>
      </c>
      <c r="H1153" s="20">
        <f t="shared" ca="1" si="113"/>
        <v>0.12997774614645233</v>
      </c>
      <c r="I1153" s="20">
        <f t="shared" ca="1" si="112"/>
        <v>0.13289670951125573</v>
      </c>
      <c r="J1153" s="20">
        <f t="shared" ca="1" si="114"/>
        <v>0.13633545108037459</v>
      </c>
      <c r="K1153" s="36">
        <v>13.5</v>
      </c>
    </row>
    <row r="1154" spans="1:11" x14ac:dyDescent="0.25">
      <c r="A1154" s="23" t="s">
        <v>6</v>
      </c>
      <c r="B1154" s="24">
        <v>45717</v>
      </c>
      <c r="C1154" s="28">
        <v>0.117813</v>
      </c>
      <c r="D1154" s="25">
        <f t="shared" ca="1" si="110"/>
        <v>156.0320257086882</v>
      </c>
      <c r="E1154" s="26">
        <f>+E1153*(1+C1153*F1154/365)</f>
        <v>156.0320257086882</v>
      </c>
      <c r="F1154" s="27">
        <f t="shared" si="115"/>
        <v>1</v>
      </c>
      <c r="G1154" s="28">
        <f t="shared" ca="1" si="111"/>
        <v>0.12694281070285379</v>
      </c>
      <c r="H1154" s="28">
        <f t="shared" ca="1" si="113"/>
        <v>0.12954947073766224</v>
      </c>
      <c r="I1154" s="28">
        <f t="shared" ca="1" si="112"/>
        <v>0.13269505285883404</v>
      </c>
      <c r="J1154" s="28">
        <f t="shared" ca="1" si="114"/>
        <v>0.13623447249390799</v>
      </c>
      <c r="K1154" s="36">
        <v>13.5</v>
      </c>
    </row>
    <row r="1155" spans="1:11" x14ac:dyDescent="0.25">
      <c r="A1155" s="23" t="s">
        <v>6</v>
      </c>
      <c r="B1155" s="24">
        <v>45718</v>
      </c>
      <c r="C1155" s="28">
        <v>0.117813</v>
      </c>
      <c r="D1155" s="25">
        <f t="shared" ref="D1155:D1188" ca="1" si="116">+IF(F1155=1,D1154*(1+C1154*F1155/365),OFFSET(D1154,-F1155+1,0)*(1+C1154*F1155/365))</f>
        <v>156.08237274843896</v>
      </c>
      <c r="E1155" s="26">
        <f>+E1153*(1+C1154*F1155/365)</f>
        <v>156.08237274843896</v>
      </c>
      <c r="F1155" s="27">
        <f t="shared" si="115"/>
        <v>2</v>
      </c>
      <c r="G1155" s="28">
        <f t="shared" ca="1" si="111"/>
        <v>0.12519937724013958</v>
      </c>
      <c r="H1155" s="28">
        <f t="shared" ca="1" si="113"/>
        <v>0.12896940444518917</v>
      </c>
      <c r="I1155" s="28">
        <f t="shared" ca="1" si="112"/>
        <v>0.13249354570016569</v>
      </c>
      <c r="J1155" s="28">
        <f t="shared" ca="1" si="114"/>
        <v>0.13613356846604802</v>
      </c>
      <c r="K1155" s="36">
        <v>13.5</v>
      </c>
    </row>
    <row r="1156" spans="1:11" x14ac:dyDescent="0.25">
      <c r="A1156" s="13" t="s">
        <v>7</v>
      </c>
      <c r="B1156" s="29">
        <v>45719</v>
      </c>
      <c r="C1156" s="20">
        <v>0.11820799999999999</v>
      </c>
      <c r="D1156" s="30">
        <f t="shared" ca="1" si="116"/>
        <v>156.13271978818969</v>
      </c>
      <c r="E1156" s="31">
        <f>+E1153*(1+C1155*F1156/365)</f>
        <v>156.13271978818969</v>
      </c>
      <c r="F1156" s="32">
        <f t="shared" si="115"/>
        <v>3</v>
      </c>
      <c r="G1156" s="20">
        <f t="shared" ca="1" si="111"/>
        <v>0.12345718434966156</v>
      </c>
      <c r="H1156" s="20">
        <f t="shared" ca="1" si="113"/>
        <v>0.12838808622205286</v>
      </c>
      <c r="I1156" s="20">
        <f t="shared" ca="1" si="112"/>
        <v>0.13235116831702703</v>
      </c>
      <c r="J1156" s="20">
        <f t="shared" ca="1" si="114"/>
        <v>0.13603126216066111</v>
      </c>
      <c r="K1156" s="36">
        <v>13.5</v>
      </c>
    </row>
    <row r="1157" spans="1:11" x14ac:dyDescent="0.25">
      <c r="A1157" s="13" t="s">
        <v>7</v>
      </c>
      <c r="B1157" s="29">
        <v>45720</v>
      </c>
      <c r="C1157" s="20">
        <v>0.115</v>
      </c>
      <c r="D1157" s="30">
        <f t="shared" ca="1" si="116"/>
        <v>156.18328454583551</v>
      </c>
      <c r="E1157" s="31">
        <f>+E1156*(1+C1156*F1157/365)</f>
        <v>156.18328454583551</v>
      </c>
      <c r="F1157" s="32">
        <f t="shared" si="115"/>
        <v>1</v>
      </c>
      <c r="G1157" s="20">
        <f t="shared" ca="1" si="111"/>
        <v>0.12176922559922722</v>
      </c>
      <c r="H1157" s="20">
        <f t="shared" ca="1" si="113"/>
        <v>0.12782433609150556</v>
      </c>
      <c r="I1157" s="20">
        <f t="shared" ca="1" si="112"/>
        <v>0.13221591841675134</v>
      </c>
      <c r="J1157" s="20">
        <f t="shared" ca="1" si="114"/>
        <v>0.13594993233803676</v>
      </c>
      <c r="K1157" s="36">
        <v>13.5</v>
      </c>
    </row>
    <row r="1158" spans="1:11" x14ac:dyDescent="0.25">
      <c r="A1158" s="13" t="s">
        <v>7</v>
      </c>
      <c r="B1158" s="29">
        <v>45721</v>
      </c>
      <c r="C1158" s="20">
        <v>0.115</v>
      </c>
      <c r="D1158" s="30">
        <f t="shared" ca="1" si="116"/>
        <v>156.23249297795269</v>
      </c>
      <c r="E1158" s="31">
        <f>+E1157*(1+C1157*F1158/365)</f>
        <v>156.23249297795269</v>
      </c>
      <c r="F1158" s="32">
        <f t="shared" si="115"/>
        <v>1</v>
      </c>
      <c r="G1158" s="20">
        <f t="shared" ca="1" si="111"/>
        <v>0.11962212896096906</v>
      </c>
      <c r="H1158" s="20">
        <f t="shared" ca="1" si="113"/>
        <v>0.12715427425263756</v>
      </c>
      <c r="I1158" s="20">
        <f t="shared" ca="1" si="112"/>
        <v>0.13214423381413729</v>
      </c>
      <c r="J1158" s="20">
        <f t="shared" ca="1" si="114"/>
        <v>0.13584931684856119</v>
      </c>
      <c r="K1158" s="36">
        <v>13.5</v>
      </c>
    </row>
    <row r="1159" spans="1:11" x14ac:dyDescent="0.25">
      <c r="A1159" s="13" t="s">
        <v>7</v>
      </c>
      <c r="B1159" s="29">
        <v>45722</v>
      </c>
      <c r="C1159" s="20">
        <v>0.11687500000000001</v>
      </c>
      <c r="D1159" s="30">
        <f t="shared" ca="1" si="116"/>
        <v>156.28171691409645</v>
      </c>
      <c r="E1159" s="31">
        <f>+E1158*(1+C1158*F1159/365)</f>
        <v>156.28171691409645</v>
      </c>
      <c r="F1159" s="32">
        <f t="shared" si="115"/>
        <v>1</v>
      </c>
      <c r="G1159" s="20">
        <f t="shared" ca="1" si="111"/>
        <v>0.11747512052815703</v>
      </c>
      <c r="H1159" s="20">
        <f t="shared" ca="1" si="113"/>
        <v>0.12664922861378747</v>
      </c>
      <c r="I1159" s="20">
        <f t="shared" ca="1" si="112"/>
        <v>0.13197219783560762</v>
      </c>
      <c r="J1159" s="20">
        <f t="shared" ca="1" si="114"/>
        <v>0.1357489887029118</v>
      </c>
      <c r="K1159" s="36">
        <v>13.5</v>
      </c>
    </row>
    <row r="1160" spans="1:11" x14ac:dyDescent="0.25">
      <c r="A1160" s="13" t="s">
        <v>7</v>
      </c>
      <c r="B1160" s="29">
        <v>45723</v>
      </c>
      <c r="C1160" s="20">
        <v>0.123484</v>
      </c>
      <c r="D1160" s="30">
        <f t="shared" ca="1" si="116"/>
        <v>156.3317591761905</v>
      </c>
      <c r="E1160" s="31">
        <f>+E1159*(1+C1159*F1160/365)</f>
        <v>156.3317591761905</v>
      </c>
      <c r="F1160" s="32">
        <f t="shared" si="115"/>
        <v>1</v>
      </c>
      <c r="G1160" s="20">
        <f t="shared" ca="1" si="111"/>
        <v>0.11702783322994284</v>
      </c>
      <c r="H1160" s="20">
        <f t="shared" ca="1" si="113"/>
        <v>0.12637566971848035</v>
      </c>
      <c r="I1160" s="20">
        <f t="shared" ca="1" si="112"/>
        <v>0.1318115690946107</v>
      </c>
      <c r="J1160" s="20">
        <f t="shared" ca="1" si="114"/>
        <v>0.13566005765036862</v>
      </c>
      <c r="K1160" s="36">
        <v>13.5</v>
      </c>
    </row>
    <row r="1161" spans="1:11" x14ac:dyDescent="0.25">
      <c r="A1161" s="23" t="s">
        <v>6</v>
      </c>
      <c r="B1161" s="24">
        <v>45724</v>
      </c>
      <c r="C1161" s="28">
        <v>0.117813</v>
      </c>
      <c r="D1161" s="25">
        <f t="shared" ca="1" si="116"/>
        <v>156.38464813769764</v>
      </c>
      <c r="E1161" s="26">
        <f>+E1159*(1+C1160*F1161/365)</f>
        <v>156.33458894568938</v>
      </c>
      <c r="F1161" s="27">
        <f t="shared" si="115"/>
        <v>1</v>
      </c>
      <c r="G1161" s="28">
        <f t="shared" ref="G1161:G1188" ca="1" si="117">(D1161/OFFSET(D1161,-7,0)-1)*365/7</f>
        <v>0.11783953235045552</v>
      </c>
      <c r="H1161" s="28">
        <f t="shared" ca="1" si="113"/>
        <v>0.12651401381747551</v>
      </c>
      <c r="I1161" s="28">
        <f t="shared" ca="1" si="112"/>
        <v>0.1317272773706028</v>
      </c>
      <c r="J1161" s="28">
        <f t="shared" ca="1" si="114"/>
        <v>0.13560102627065926</v>
      </c>
      <c r="K1161" s="36">
        <v>13.5</v>
      </c>
    </row>
    <row r="1162" spans="1:11" x14ac:dyDescent="0.25">
      <c r="A1162" s="23" t="s">
        <v>6</v>
      </c>
      <c r="B1162" s="24">
        <v>45725</v>
      </c>
      <c r="C1162" s="28">
        <v>0.117813</v>
      </c>
      <c r="D1162" s="25">
        <f t="shared" ca="1" si="116"/>
        <v>156.43267925040323</v>
      </c>
      <c r="E1162" s="26">
        <f>+E1160*(1+C1161*F1162/365)</f>
        <v>156.43267925040323</v>
      </c>
      <c r="F1162" s="27">
        <f t="shared" si="115"/>
        <v>2</v>
      </c>
      <c r="G1162" s="28">
        <f t="shared" ca="1" si="117"/>
        <v>0.11702783322993127</v>
      </c>
      <c r="H1162" s="28">
        <f t="shared" ca="1" si="113"/>
        <v>0.12591149456652059</v>
      </c>
      <c r="I1162" s="28">
        <f t="shared" ca="1" si="112"/>
        <v>0.131513021115403</v>
      </c>
      <c r="J1162" s="28">
        <f t="shared" ca="1" si="114"/>
        <v>0.13547442347428085</v>
      </c>
      <c r="K1162" s="36">
        <v>13.5</v>
      </c>
    </row>
    <row r="1163" spans="1:11" x14ac:dyDescent="0.25">
      <c r="A1163" s="23" t="s">
        <v>6</v>
      </c>
      <c r="B1163" s="24">
        <v>45726</v>
      </c>
      <c r="C1163" s="28">
        <v>0.117813</v>
      </c>
      <c r="D1163" s="25">
        <f t="shared" ca="1" si="116"/>
        <v>156.4831392875096</v>
      </c>
      <c r="E1163" s="26">
        <f>+E1161*(1+C1162*F1163/365)</f>
        <v>156.48597179714793</v>
      </c>
      <c r="F1163" s="27">
        <f t="shared" si="115"/>
        <v>3</v>
      </c>
      <c r="G1163" s="28">
        <f t="shared" ca="1" si="117"/>
        <v>0.11702783322994284</v>
      </c>
      <c r="H1163" s="28">
        <f t="shared" ca="1" si="113"/>
        <v>0.125498644486045</v>
      </c>
      <c r="I1163" s="28">
        <f t="shared" ca="1" si="112"/>
        <v>0.1313639074749508</v>
      </c>
      <c r="J1163" s="28">
        <f t="shared" ca="1" si="114"/>
        <v>0.13540176997282172</v>
      </c>
      <c r="K1163" s="36">
        <v>13.5</v>
      </c>
    </row>
    <row r="1164" spans="1:11" x14ac:dyDescent="0.25">
      <c r="A1164" s="13" t="s">
        <v>7</v>
      </c>
      <c r="B1164" s="29">
        <v>45727</v>
      </c>
      <c r="C1164" s="20">
        <v>0.119556</v>
      </c>
      <c r="D1164" s="30">
        <f t="shared" ca="1" si="116"/>
        <v>156.53359932461598</v>
      </c>
      <c r="E1164" s="31">
        <f>+E1160*(1+C1163*F1164/365)</f>
        <v>156.53359932461598</v>
      </c>
      <c r="F1164" s="32">
        <f t="shared" si="115"/>
        <v>4</v>
      </c>
      <c r="G1164" s="20">
        <f t="shared" ca="1" si="117"/>
        <v>0.11695498348685662</v>
      </c>
      <c r="H1164" s="20">
        <f t="shared" ca="1" si="113"/>
        <v>0.12508608828122605</v>
      </c>
      <c r="I1164" s="20">
        <f t="shared" ca="1" si="112"/>
        <v>0.13116552120042821</v>
      </c>
      <c r="J1164" s="20">
        <f t="shared" ca="1" si="114"/>
        <v>0.13531606222431086</v>
      </c>
      <c r="K1164" s="36">
        <v>13.5</v>
      </c>
    </row>
    <row r="1165" spans="1:11" ht="15.75" customHeight="1" x14ac:dyDescent="0.25">
      <c r="A1165" s="13" t="s">
        <v>7</v>
      </c>
      <c r="B1165" s="29">
        <v>45728</v>
      </c>
      <c r="C1165" s="20">
        <v>0.12280199999999999</v>
      </c>
      <c r="D1165" s="30">
        <f t="shared" ca="1" si="116"/>
        <v>156.58487201228954</v>
      </c>
      <c r="E1165" s="31">
        <f>+E1164*(1+C1164*F1165/365)</f>
        <v>156.58487201228954</v>
      </c>
      <c r="F1165" s="32">
        <f t="shared" si="115"/>
        <v>1</v>
      </c>
      <c r="G1165" s="20">
        <f t="shared" ca="1" si="117"/>
        <v>0.1176070950244409</v>
      </c>
      <c r="H1165" s="20">
        <f t="shared" ca="1" si="113"/>
        <v>0.12473761607059002</v>
      </c>
      <c r="I1165" s="20">
        <f t="shared" ca="1" si="112"/>
        <v>0.13098843677874922</v>
      </c>
      <c r="J1165" s="20">
        <f t="shared" ca="1" si="114"/>
        <v>0.13526610338548667</v>
      </c>
      <c r="K1165" s="36">
        <v>13.5</v>
      </c>
    </row>
    <row r="1166" spans="1:11" x14ac:dyDescent="0.25">
      <c r="A1166" s="13" t="s">
        <v>7</v>
      </c>
      <c r="B1166" s="29">
        <v>45729</v>
      </c>
      <c r="C1166" s="20">
        <v>0.122321</v>
      </c>
      <c r="D1166" s="30">
        <f t="shared" ca="1" si="116"/>
        <v>156.63755402722884</v>
      </c>
      <c r="E1166" s="31">
        <f>+E1165*(1+C1165*F1166/365)</f>
        <v>156.63755402722884</v>
      </c>
      <c r="F1166" s="32">
        <f t="shared" si="115"/>
        <v>1</v>
      </c>
      <c r="G1166" s="20">
        <f t="shared" ca="1" si="117"/>
        <v>0.1187238284974057</v>
      </c>
      <c r="H1166" s="20">
        <f t="shared" ca="1" si="113"/>
        <v>0.12449530914421496</v>
      </c>
      <c r="I1166" s="20">
        <f t="shared" ca="1" si="112"/>
        <v>0.13090102086069785</v>
      </c>
      <c r="J1166" s="20">
        <f t="shared" ca="1" si="114"/>
        <v>0.13523564100783581</v>
      </c>
      <c r="K1166" s="36">
        <v>13.5</v>
      </c>
    </row>
    <row r="1167" spans="1:11" x14ac:dyDescent="0.25">
      <c r="A1167" s="13" t="s">
        <v>7</v>
      </c>
      <c r="B1167" s="29">
        <v>45730</v>
      </c>
      <c r="C1167" s="20">
        <v>0.128251</v>
      </c>
      <c r="D1167" s="30">
        <f t="shared" ca="1" si="116"/>
        <v>156.6900473484512</v>
      </c>
      <c r="E1167" s="31">
        <f>+E1166*(1+C1166*F1167/365)</f>
        <v>156.6900473484512</v>
      </c>
      <c r="F1167" s="32">
        <f t="shared" si="115"/>
        <v>1</v>
      </c>
      <c r="G1167" s="20">
        <f t="shared" ca="1" si="117"/>
        <v>0.1195033503148224</v>
      </c>
      <c r="H1167" s="20">
        <f t="shared" ca="1" si="113"/>
        <v>0.12423681536716782</v>
      </c>
      <c r="I1167" s="20">
        <f t="shared" ca="1" si="112"/>
        <v>0.13078705290219458</v>
      </c>
      <c r="J1167" s="20">
        <f t="shared" ca="1" si="114"/>
        <v>0.13520259520594113</v>
      </c>
      <c r="K1167" s="36">
        <v>13.5</v>
      </c>
    </row>
    <row r="1168" spans="1:11" x14ac:dyDescent="0.25">
      <c r="A1168" s="23" t="s">
        <v>6</v>
      </c>
      <c r="B1168" s="24">
        <v>45731</v>
      </c>
      <c r="C1168" s="28">
        <v>0.128251</v>
      </c>
      <c r="D1168" s="25">
        <f t="shared" ca="1" si="116"/>
        <v>156.74510393821146</v>
      </c>
      <c r="E1168" s="26">
        <f>+E1167*(1+C1167*F1168/365)</f>
        <v>156.74510393821146</v>
      </c>
      <c r="F1168" s="27">
        <f t="shared" si="115"/>
        <v>1</v>
      </c>
      <c r="G1168" s="28">
        <f t="shared" ca="1" si="117"/>
        <v>0.12018568022071098</v>
      </c>
      <c r="H1168" s="28">
        <f t="shared" ca="1" si="113"/>
        <v>0.12468288513159778</v>
      </c>
      <c r="I1168" s="28">
        <f t="shared" ca="1" si="112"/>
        <v>0.13073588343327311</v>
      </c>
      <c r="J1168" s="28">
        <f t="shared" ca="1" si="114"/>
        <v>0.13519223436823355</v>
      </c>
      <c r="K1168" s="36">
        <v>13.5</v>
      </c>
    </row>
    <row r="1169" spans="1:11" x14ac:dyDescent="0.25">
      <c r="A1169" s="23" t="s">
        <v>6</v>
      </c>
      <c r="B1169" s="24">
        <v>45732</v>
      </c>
      <c r="C1169" s="28">
        <v>0.128251</v>
      </c>
      <c r="D1169" s="25">
        <f t="shared" ca="1" si="116"/>
        <v>156.80016052797168</v>
      </c>
      <c r="E1169" s="26">
        <f>+E1167*(1+C1168*F1169/365)</f>
        <v>156.80016052797168</v>
      </c>
      <c r="F1169" s="27">
        <f t="shared" si="115"/>
        <v>2</v>
      </c>
      <c r="G1169" s="28">
        <f t="shared" ca="1" si="117"/>
        <v>0.122490542581931</v>
      </c>
      <c r="H1169" s="28">
        <f t="shared" ca="1" si="113"/>
        <v>0.12462249219810498</v>
      </c>
      <c r="I1169" s="28">
        <f t="shared" ca="1" si="112"/>
        <v>0.13068475114774772</v>
      </c>
      <c r="J1169" s="28">
        <f t="shared" ca="1" si="114"/>
        <v>0.1351816067228683</v>
      </c>
      <c r="K1169" s="36">
        <v>13.5</v>
      </c>
    </row>
    <row r="1170" spans="1:11" x14ac:dyDescent="0.25">
      <c r="A1170" s="13" t="s">
        <v>7</v>
      </c>
      <c r="B1170" s="29">
        <v>45733</v>
      </c>
      <c r="C1170" s="20">
        <v>0.126529</v>
      </c>
      <c r="D1170" s="30">
        <f t="shared" ca="1" si="116"/>
        <v>156.85521711773188</v>
      </c>
      <c r="E1170" s="31">
        <f>+E1167*(1+C1169*F1170/365)</f>
        <v>156.85521711773188</v>
      </c>
      <c r="F1170" s="32">
        <f t="shared" si="115"/>
        <v>3</v>
      </c>
      <c r="G1170" s="20">
        <f t="shared" ca="1" si="117"/>
        <v>0.1239826938265709</v>
      </c>
      <c r="H1170" s="20">
        <f t="shared" ca="1" si="113"/>
        <v>0.12456058418358028</v>
      </c>
      <c r="I1170" s="20">
        <f t="shared" ca="1" si="112"/>
        <v>0.13066366614825303</v>
      </c>
      <c r="J1170" s="20">
        <f t="shared" ca="1" si="114"/>
        <v>0.13517266138535053</v>
      </c>
      <c r="K1170" s="36">
        <v>13.5</v>
      </c>
    </row>
    <row r="1171" spans="1:11" x14ac:dyDescent="0.25">
      <c r="A1171" s="13" t="s">
        <v>7</v>
      </c>
      <c r="B1171" s="29">
        <v>45734</v>
      </c>
      <c r="C1171" s="20">
        <v>0.127919</v>
      </c>
      <c r="D1171" s="30">
        <f t="shared" ca="1" si="116"/>
        <v>156.90959173079131</v>
      </c>
      <c r="E1171" s="31">
        <f>+E1170*(1+C1170*F1171/365)</f>
        <v>156.90959173079131</v>
      </c>
      <c r="F1171" s="32">
        <f t="shared" si="115"/>
        <v>1</v>
      </c>
      <c r="G1171" s="20">
        <f t="shared" ca="1" si="117"/>
        <v>0.12524671001363072</v>
      </c>
      <c r="H1171" s="20">
        <f t="shared" ca="1" si="113"/>
        <v>0.12444529933411411</v>
      </c>
      <c r="I1171" s="20">
        <f t="shared" ca="1" si="112"/>
        <v>0.13060002423845532</v>
      </c>
      <c r="J1171" s="20">
        <f t="shared" ca="1" si="114"/>
        <v>0.13512820389430802</v>
      </c>
      <c r="K1171" s="36">
        <v>13.5</v>
      </c>
    </row>
    <row r="1172" spans="1:11" x14ac:dyDescent="0.25">
      <c r="A1172" s="13" t="s">
        <v>7</v>
      </c>
      <c r="B1172" s="29">
        <v>45735</v>
      </c>
      <c r="C1172" s="20">
        <v>0.125274</v>
      </c>
      <c r="D1172" s="30">
        <f t="shared" ca="1" si="116"/>
        <v>156.96458273918748</v>
      </c>
      <c r="E1172" s="31">
        <f>+E1171*(1+C1171*F1172/365)</f>
        <v>156.96458273918748</v>
      </c>
      <c r="F1172" s="32">
        <f t="shared" si="115"/>
        <v>1</v>
      </c>
      <c r="G1172" s="20">
        <f t="shared" ca="1" si="117"/>
        <v>0.12644390185212637</v>
      </c>
      <c r="H1172" s="20">
        <f t="shared" ca="1" si="113"/>
        <v>0.12437836309293233</v>
      </c>
      <c r="I1172" s="20">
        <f t="shared" ca="1" si="112"/>
        <v>0.13055515109550078</v>
      </c>
      <c r="J1172" s="20">
        <f t="shared" ca="1" si="114"/>
        <v>0.13508731340922672</v>
      </c>
      <c r="K1172" s="36">
        <v>13.5</v>
      </c>
    </row>
    <row r="1173" spans="1:11" x14ac:dyDescent="0.25">
      <c r="A1173" s="13" t="s">
        <v>7</v>
      </c>
      <c r="B1173" s="29">
        <v>45736</v>
      </c>
      <c r="C1173" s="20">
        <v>0.125</v>
      </c>
      <c r="D1173" s="30">
        <f t="shared" ca="1" si="116"/>
        <v>157.01845556422327</v>
      </c>
      <c r="E1173" s="31">
        <f>+E1172*(1+C1172*F1173/365)</f>
        <v>157.01845556422327</v>
      </c>
      <c r="F1173" s="32">
        <f t="shared" si="115"/>
        <v>1</v>
      </c>
      <c r="G1173" s="20">
        <f t="shared" ca="1" si="117"/>
        <v>0.1267977820027891</v>
      </c>
      <c r="H1173" s="20">
        <f t="shared" ca="1" si="113"/>
        <v>0.12421927597653289</v>
      </c>
      <c r="I1173" s="20">
        <f t="shared" ca="1" si="112"/>
        <v>0.13046832949990328</v>
      </c>
      <c r="J1173" s="20">
        <f t="shared" ca="1" si="114"/>
        <v>0.13503105099131754</v>
      </c>
      <c r="K1173" s="36">
        <v>13.5</v>
      </c>
    </row>
    <row r="1174" spans="1:11" x14ac:dyDescent="0.25">
      <c r="A1174" s="23" t="s">
        <v>6</v>
      </c>
      <c r="B1174" s="24">
        <v>45737</v>
      </c>
      <c r="C1174" s="28">
        <v>0.125</v>
      </c>
      <c r="D1174" s="25">
        <f t="shared" ca="1" si="116"/>
        <v>157.07222900790964</v>
      </c>
      <c r="E1174" s="26">
        <f>+E1172*(1+C1173*F1174/365)</f>
        <v>157.01833773327621</v>
      </c>
      <c r="F1174" s="27">
        <f t="shared" si="115"/>
        <v>1</v>
      </c>
      <c r="G1174" s="28">
        <f t="shared" ca="1" si="117"/>
        <v>0.12718129842315778</v>
      </c>
      <c r="H1174" s="28">
        <f t="shared" ca="1" si="113"/>
        <v>0.12405096762138834</v>
      </c>
      <c r="I1174" s="28">
        <f t="shared" ca="1" si="112"/>
        <v>0.13040156054613536</v>
      </c>
      <c r="J1174" s="28">
        <f t="shared" ca="1" si="114"/>
        <v>0.13497346169449317</v>
      </c>
      <c r="K1174" s="36">
        <v>13.5</v>
      </c>
    </row>
    <row r="1175" spans="1:11" x14ac:dyDescent="0.25">
      <c r="A1175" s="23" t="s">
        <v>6</v>
      </c>
      <c r="B1175" s="24">
        <v>45738</v>
      </c>
      <c r="C1175" s="28">
        <v>0.125</v>
      </c>
      <c r="D1175" s="25">
        <f t="shared" ca="1" si="116"/>
        <v>157.12600245159604</v>
      </c>
      <c r="E1175" s="26">
        <f>+E1173*(1+C1174*F1175/365)</f>
        <v>157.12600245159604</v>
      </c>
      <c r="F1175" s="27">
        <f t="shared" si="115"/>
        <v>2</v>
      </c>
      <c r="G1175" s="28">
        <f t="shared" ca="1" si="117"/>
        <v>0.12670977447033049</v>
      </c>
      <c r="H1175" s="28">
        <f t="shared" ca="1" si="113"/>
        <v>0.12388122108787732</v>
      </c>
      <c r="I1175" s="28">
        <f t="shared" ca="1" si="112"/>
        <v>0.13033483942099708</v>
      </c>
      <c r="J1175" s="28">
        <f t="shared" ca="1" si="114"/>
        <v>0.13491397667052177</v>
      </c>
      <c r="K1175" s="36">
        <v>13.5</v>
      </c>
    </row>
    <row r="1176" spans="1:11" x14ac:dyDescent="0.25">
      <c r="A1176" s="23" t="s">
        <v>6</v>
      </c>
      <c r="B1176" s="24">
        <v>45739</v>
      </c>
      <c r="C1176" s="28">
        <v>0.125</v>
      </c>
      <c r="D1176" s="25">
        <f t="shared" ca="1" si="116"/>
        <v>157.1797758952824</v>
      </c>
      <c r="E1176" s="26">
        <f>+E1174*(1+C1175*F1176/365)</f>
        <v>157.17965794327614</v>
      </c>
      <c r="F1176" s="27">
        <f t="shared" si="115"/>
        <v>3</v>
      </c>
      <c r="G1176" s="28">
        <f t="shared" ca="1" si="117"/>
        <v>0.12623858164600019</v>
      </c>
      <c r="H1176" s="28">
        <f t="shared" ca="1" si="113"/>
        <v>0.12371003742142121</v>
      </c>
      <c r="I1176" s="28">
        <f t="shared" ca="1" si="112"/>
        <v>0.13026816607311054</v>
      </c>
      <c r="J1176" s="28">
        <f t="shared" ca="1" si="114"/>
        <v>0.13485423999018917</v>
      </c>
      <c r="K1176" s="36">
        <v>13.5</v>
      </c>
    </row>
    <row r="1177" spans="1:11" x14ac:dyDescent="0.25">
      <c r="A1177" s="13" t="s">
        <v>7</v>
      </c>
      <c r="B1177" s="29">
        <v>45740</v>
      </c>
      <c r="C1177" s="20">
        <v>0.125</v>
      </c>
      <c r="D1177" s="30">
        <f t="shared" ca="1" si="116"/>
        <v>157.2335493389688</v>
      </c>
      <c r="E1177" s="31">
        <f>+E1173*(1+C1176*F1177/365)</f>
        <v>157.2335493389688</v>
      </c>
      <c r="F1177" s="32">
        <f t="shared" si="115"/>
        <v>4</v>
      </c>
      <c r="G1177" s="20">
        <f t="shared" ca="1" si="117"/>
        <v>0.12576771960150582</v>
      </c>
      <c r="H1177" s="20">
        <f t="shared" ca="1" si="113"/>
        <v>0.12353741766688756</v>
      </c>
      <c r="I1177" s="20">
        <f t="shared" ca="1" si="112"/>
        <v>0.13020937569745841</v>
      </c>
      <c r="J1177" s="20">
        <f t="shared" ca="1" si="114"/>
        <v>0.13479425184771557</v>
      </c>
      <c r="K1177" s="36">
        <v>13.5</v>
      </c>
    </row>
    <row r="1178" spans="1:11" x14ac:dyDescent="0.25">
      <c r="A1178" s="13" t="s">
        <v>7</v>
      </c>
      <c r="B1178" s="29">
        <v>45741</v>
      </c>
      <c r="C1178" s="20">
        <v>0.125</v>
      </c>
      <c r="D1178" s="30">
        <f t="shared" ca="1" si="116"/>
        <v>157.28739644490679</v>
      </c>
      <c r="E1178" s="31">
        <f>+E1177*(1+C1177*F1178/365)</f>
        <v>157.28739644490679</v>
      </c>
      <c r="F1178" s="32">
        <f t="shared" si="115"/>
        <v>1</v>
      </c>
      <c r="G1178" s="20">
        <f t="shared" ca="1" si="117"/>
        <v>0.12554884005957359</v>
      </c>
      <c r="H1178" s="20">
        <f t="shared" ca="1" si="113"/>
        <v>0.1233706765679418</v>
      </c>
      <c r="I1178" s="20">
        <f t="shared" ca="1" si="112"/>
        <v>0.13015205686675008</v>
      </c>
      <c r="J1178" s="20">
        <f t="shared" ca="1" si="114"/>
        <v>0.13473502520470304</v>
      </c>
      <c r="K1178" s="36">
        <v>13.5</v>
      </c>
    </row>
    <row r="1179" spans="1:11" x14ac:dyDescent="0.25">
      <c r="A1179" s="13" t="s">
        <v>7</v>
      </c>
      <c r="B1179" s="29">
        <v>45742</v>
      </c>
      <c r="C1179" s="20">
        <v>0.125</v>
      </c>
      <c r="D1179" s="30">
        <f t="shared" ca="1" si="116"/>
        <v>157.34126199163447</v>
      </c>
      <c r="E1179" s="31">
        <f>+E1178*(1+C1178*F1179/365)</f>
        <v>157.34126199163447</v>
      </c>
      <c r="F1179" s="32">
        <f t="shared" si="115"/>
        <v>1</v>
      </c>
      <c r="G1179" s="20">
        <f t="shared" ca="1" si="117"/>
        <v>0.12513098245644932</v>
      </c>
      <c r="H1179" s="20">
        <f t="shared" ca="1" si="113"/>
        <v>0.12320549452047458</v>
      </c>
      <c r="I1179" s="20">
        <f t="shared" ca="1" si="112"/>
        <v>0.13009473882095154</v>
      </c>
      <c r="J1179" s="20">
        <f t="shared" ca="1" si="114"/>
        <v>0.13467580018373862</v>
      </c>
      <c r="K1179" s="36">
        <v>14</v>
      </c>
    </row>
    <row r="1180" spans="1:11" x14ac:dyDescent="0.25">
      <c r="A1180" s="13" t="s">
        <v>7</v>
      </c>
      <c r="B1180" s="29">
        <v>45743</v>
      </c>
      <c r="C1180" s="20">
        <v>0.125</v>
      </c>
      <c r="D1180" s="30">
        <f t="shared" ca="1" si="116"/>
        <v>157.3951459854672</v>
      </c>
      <c r="E1180" s="31">
        <f>+E1179*(1+C1179*F1180/365)</f>
        <v>157.3951459854672</v>
      </c>
      <c r="F1180" s="32">
        <f t="shared" si="115"/>
        <v>1</v>
      </c>
      <c r="G1180" s="20">
        <f t="shared" ca="1" si="117"/>
        <v>0.12509175912745632</v>
      </c>
      <c r="H1180" s="20">
        <f t="shared" ca="1" si="113"/>
        <v>0.1230372000478015</v>
      </c>
      <c r="I1180" s="20">
        <f t="shared" ref="I1180:I1245" ca="1" si="118">($D1180/OFFSET($D1180,-90,0)-1)*365/90</f>
        <v>0.13003742156005293</v>
      </c>
      <c r="J1180" s="20">
        <f t="shared" ca="1" si="114"/>
        <v>0.13461687237874428</v>
      </c>
      <c r="K1180" s="36">
        <v>14</v>
      </c>
    </row>
    <row r="1181" spans="1:11" x14ac:dyDescent="0.25">
      <c r="A1181" s="13" t="s">
        <v>7</v>
      </c>
      <c r="B1181" s="29">
        <v>45744</v>
      </c>
      <c r="C1181" s="20">
        <v>0.127</v>
      </c>
      <c r="D1181" s="30">
        <f t="shared" ca="1" si="116"/>
        <v>157.44904843272246</v>
      </c>
      <c r="E1181" s="31">
        <f>+E1180*(1+C1180*F1181/365)</f>
        <v>157.44904843272246</v>
      </c>
      <c r="F1181" s="32">
        <f t="shared" ref="F1181:F1212" si="119">IF(A1180="Working day",1,(IF(A1179="Working day",2,(IF(A1178="Working day",3,IF(A1177="Working day",4,IF(A1176="Working day",5,IF(A1175="Working day",6,7))))))))</f>
        <v>1</v>
      </c>
      <c r="G1181" s="20">
        <f t="shared" ca="1" si="117"/>
        <v>0.12509175912744475</v>
      </c>
      <c r="H1181" s="20">
        <f t="shared" ca="1" si="113"/>
        <v>0.12286890787971183</v>
      </c>
      <c r="I1181" s="20">
        <f t="shared" ca="1" si="118"/>
        <v>0.12986547684115821</v>
      </c>
      <c r="J1181" s="20">
        <f t="shared" ca="1" si="114"/>
        <v>0.13455824154706161</v>
      </c>
      <c r="K1181" s="36">
        <v>14</v>
      </c>
    </row>
    <row r="1182" spans="1:11" x14ac:dyDescent="0.25">
      <c r="A1182" s="23" t="s">
        <v>6</v>
      </c>
      <c r="B1182" s="24">
        <v>45745</v>
      </c>
      <c r="C1182" s="28">
        <v>0.127</v>
      </c>
      <c r="D1182" s="25">
        <f t="shared" ca="1" si="116"/>
        <v>157.50383207423195</v>
      </c>
      <c r="E1182" s="26">
        <f>+E1180*(1+C1181*F1182/365)</f>
        <v>157.44991087187859</v>
      </c>
      <c r="F1182" s="27">
        <f t="shared" si="119"/>
        <v>1</v>
      </c>
      <c r="G1182" s="28">
        <f t="shared" ca="1" si="117"/>
        <v>0.12538418676764435</v>
      </c>
      <c r="H1182" s="28">
        <f t="shared" ca="1" si="113"/>
        <v>0.12276793396159295</v>
      </c>
      <c r="I1182" s="28">
        <f t="shared" ca="1" si="118"/>
        <v>0.12971707946978486</v>
      </c>
      <c r="J1182" s="28">
        <f t="shared" ca="1" si="114"/>
        <v>0.13439257031532972</v>
      </c>
      <c r="K1182" s="36">
        <v>14</v>
      </c>
    </row>
    <row r="1183" spans="1:11" x14ac:dyDescent="0.25">
      <c r="A1183" s="23" t="s">
        <v>6</v>
      </c>
      <c r="B1183" s="24">
        <v>45746</v>
      </c>
      <c r="C1183" s="28">
        <v>0.127</v>
      </c>
      <c r="D1183" s="25">
        <f t="shared" ca="1" si="116"/>
        <v>157.55861571574138</v>
      </c>
      <c r="E1183" s="26">
        <f>+E1181*(1+C1182*F1183/365)</f>
        <v>157.55861571574138</v>
      </c>
      <c r="F1183" s="27">
        <f t="shared" si="119"/>
        <v>2</v>
      </c>
      <c r="G1183" s="28">
        <f t="shared" ca="1" si="117"/>
        <v>0.12567641432049645</v>
      </c>
      <c r="H1183" s="28">
        <f t="shared" ca="1" si="113"/>
        <v>0.12300205746280111</v>
      </c>
      <c r="I1183" s="28">
        <f t="shared" ca="1" si="118"/>
        <v>0.1295687958066451</v>
      </c>
      <c r="J1183" s="28">
        <f t="shared" ca="1" si="114"/>
        <v>0.13422703965042396</v>
      </c>
      <c r="K1183" s="36">
        <v>14</v>
      </c>
    </row>
    <row r="1184" spans="1:11" x14ac:dyDescent="0.25">
      <c r="A1184" s="23" t="s">
        <v>6</v>
      </c>
      <c r="B1184" s="24">
        <v>45747</v>
      </c>
      <c r="C1184" s="28">
        <v>0.127</v>
      </c>
      <c r="D1184" s="25">
        <f t="shared" ca="1" si="116"/>
        <v>157.61339935725087</v>
      </c>
      <c r="E1184" s="26">
        <f>+E1182*(1+C1183*F1184/365)</f>
        <v>157.61426269665171</v>
      </c>
      <c r="F1184" s="27">
        <f t="shared" si="119"/>
        <v>3</v>
      </c>
      <c r="G1184" s="28">
        <f t="shared" ca="1" si="117"/>
        <v>0.12596844199131446</v>
      </c>
      <c r="H1184" s="28">
        <f t="shared" ca="1" si="113"/>
        <v>0.12330831423949935</v>
      </c>
      <c r="I1184" s="28">
        <f t="shared" ca="1" si="118"/>
        <v>0.12942062572110319</v>
      </c>
      <c r="J1184" s="28">
        <f t="shared" ca="1" si="114"/>
        <v>0.13417914783094687</v>
      </c>
      <c r="K1184" s="36">
        <v>14</v>
      </c>
    </row>
    <row r="1185" spans="1:11" x14ac:dyDescent="0.25">
      <c r="A1185" s="13" t="s">
        <v>7</v>
      </c>
      <c r="B1185" s="29">
        <v>45748</v>
      </c>
      <c r="C1185" s="20">
        <v>0.124489</v>
      </c>
      <c r="D1185" s="30">
        <f t="shared" ca="1" si="116"/>
        <v>157.66818299876033</v>
      </c>
      <c r="E1185" s="31">
        <f>+E1181*(1+C1184*F1185/365)</f>
        <v>157.66818299876033</v>
      </c>
      <c r="F1185" s="32">
        <f t="shared" si="119"/>
        <v>4</v>
      </c>
      <c r="G1185" s="20">
        <f t="shared" ca="1" si="117"/>
        <v>0.1262357908407549</v>
      </c>
      <c r="H1185" s="20">
        <f t="shared" ca="1" si="113"/>
        <v>0.12361437343946435</v>
      </c>
      <c r="I1185" s="20">
        <f t="shared" ca="1" si="118"/>
        <v>0.12927256908271423</v>
      </c>
      <c r="J1185" s="20">
        <f t="shared" ca="1" si="114"/>
        <v>0.13413099588451827</v>
      </c>
      <c r="K1185" s="36">
        <v>14</v>
      </c>
    </row>
    <row r="1186" spans="1:11" x14ac:dyDescent="0.25">
      <c r="A1186" s="13" t="s">
        <v>7</v>
      </c>
      <c r="B1186" s="29">
        <v>45749</v>
      </c>
      <c r="C1186" s="20">
        <v>0.124732</v>
      </c>
      <c r="D1186" s="30">
        <f t="shared" ca="1" si="116"/>
        <v>157.7219582163859</v>
      </c>
      <c r="E1186" s="31">
        <f>+E1185*(1+C1185*F1186/365)</f>
        <v>157.7219582163859</v>
      </c>
      <c r="F1186" s="32">
        <f t="shared" si="119"/>
        <v>1</v>
      </c>
      <c r="G1186" s="20">
        <f t="shared" ca="1" si="117"/>
        <v>0.12616263916259776</v>
      </c>
      <c r="H1186" s="20">
        <f t="shared" ca="1" si="113"/>
        <v>0.12384165366459714</v>
      </c>
      <c r="I1186" s="20">
        <f t="shared" ca="1" si="118"/>
        <v>0.12909787042223111</v>
      </c>
      <c r="J1186" s="20">
        <f t="shared" ca="1" si="114"/>
        <v>0.13406876185294123</v>
      </c>
      <c r="K1186" s="36">
        <v>14</v>
      </c>
    </row>
    <row r="1187" spans="1:11" x14ac:dyDescent="0.25">
      <c r="A1187" s="13" t="s">
        <v>7</v>
      </c>
      <c r="B1187" s="29">
        <v>45750</v>
      </c>
      <c r="C1187" s="20">
        <v>0.124516</v>
      </c>
      <c r="D1187" s="30">
        <f t="shared" ca="1" si="116"/>
        <v>157.77585677883039</v>
      </c>
      <c r="E1187" s="31">
        <f>+E1186*(1+C1186*F1187/365)</f>
        <v>157.77585677883039</v>
      </c>
      <c r="F1187" s="32">
        <f t="shared" si="119"/>
        <v>1</v>
      </c>
      <c r="G1187" s="20">
        <f t="shared" ca="1" si="117"/>
        <v>0.12612427395259837</v>
      </c>
      <c r="H1187" s="20">
        <f t="shared" ca="1" si="113"/>
        <v>0.12406126275152841</v>
      </c>
      <c r="I1187" s="20">
        <f t="shared" ca="1" si="118"/>
        <v>0.12892657673116958</v>
      </c>
      <c r="J1187" s="20">
        <f t="shared" ca="1" si="114"/>
        <v>0.13400826384824896</v>
      </c>
      <c r="K1187" s="36">
        <v>14</v>
      </c>
    </row>
    <row r="1188" spans="1:11" x14ac:dyDescent="0.25">
      <c r="A1188" s="13" t="s">
        <v>7</v>
      </c>
      <c r="B1188" s="29">
        <v>45751</v>
      </c>
      <c r="C1188" s="20">
        <v>0.124067</v>
      </c>
      <c r="D1188" s="30">
        <f t="shared" ca="1" si="116"/>
        <v>157.82968039138564</v>
      </c>
      <c r="E1188" s="31">
        <f>+E1187*(1+C1187*F1188/365)</f>
        <v>157.82968039138564</v>
      </c>
      <c r="F1188" s="32">
        <f t="shared" si="119"/>
        <v>1</v>
      </c>
      <c r="G1188" s="20">
        <f t="shared" ca="1" si="117"/>
        <v>0.12605498757943304</v>
      </c>
      <c r="H1188" s="20">
        <f t="shared" ca="1" si="113"/>
        <v>0.12438159625460624</v>
      </c>
      <c r="I1188" s="20">
        <f t="shared" ca="1" si="118"/>
        <v>0.12884080866844655</v>
      </c>
      <c r="J1188" s="20">
        <f t="shared" ca="1" si="114"/>
        <v>0.1339467839898342</v>
      </c>
      <c r="K1188" s="36">
        <v>14</v>
      </c>
    </row>
    <row r="1189" spans="1:11" x14ac:dyDescent="0.25">
      <c r="A1189" s="23" t="s">
        <v>6</v>
      </c>
      <c r="B1189" s="24">
        <v>45752</v>
      </c>
      <c r="C1189" s="28">
        <v>0.124067</v>
      </c>
      <c r="D1189" s="25">
        <f t="shared" ref="D1189:D1220" ca="1" si="120">+IF(F1189=1,D1188*(1+C1188*F1189/365),OFFSET(D1188,-F1189+1,0)*(1+C1188*F1189/365))</f>
        <v>157.88332821318596</v>
      </c>
      <c r="E1189" s="26">
        <f>+E1188*(1+C1188*F1189/365)</f>
        <v>157.88332821318596</v>
      </c>
      <c r="F1189" s="27">
        <f t="shared" si="119"/>
        <v>1</v>
      </c>
      <c r="G1189" s="28">
        <f t="shared" ref="G1189:G1220" ca="1" si="121">(D1189/OFFSET(D1189,-7,0)-1)*365/7</f>
        <v>0.12563512074054817</v>
      </c>
      <c r="H1189" s="28">
        <f t="shared" ca="1" si="113"/>
        <v>0.1246868231957033</v>
      </c>
      <c r="I1189" s="28">
        <f t="shared" ca="1" si="118"/>
        <v>0.12883011632525501</v>
      </c>
      <c r="J1189" s="28">
        <f t="shared" ca="1" si="114"/>
        <v>0.13388205687620841</v>
      </c>
      <c r="K1189" s="36">
        <v>14</v>
      </c>
    </row>
    <row r="1190" spans="1:11" x14ac:dyDescent="0.25">
      <c r="A1190" s="23" t="s">
        <v>6</v>
      </c>
      <c r="B1190" s="24">
        <v>45753</v>
      </c>
      <c r="C1190" s="28">
        <v>0.124067</v>
      </c>
      <c r="D1190" s="25">
        <f t="shared" ca="1" si="120"/>
        <v>157.93697603498629</v>
      </c>
      <c r="E1190" s="26">
        <f>+E1188*(1+C1189*F1190/365)</f>
        <v>157.93697603498629</v>
      </c>
      <c r="F1190" s="27">
        <f t="shared" si="119"/>
        <v>2</v>
      </c>
      <c r="G1190" s="28">
        <f t="shared" ca="1" si="121"/>
        <v>0.12521554587980496</v>
      </c>
      <c r="H1190" s="28">
        <f t="shared" ref="H1190:H1259" ca="1" si="122">($D1190/OFFSET($D1190,-30,0)-1)*365/30</f>
        <v>0.12492751665815303</v>
      </c>
      <c r="I1190" s="28">
        <f t="shared" ca="1" si="118"/>
        <v>0.12881943130057324</v>
      </c>
      <c r="J1190" s="28">
        <f t="shared" ca="1" si="114"/>
        <v>0.1338207170016561</v>
      </c>
      <c r="K1190" s="36">
        <v>14</v>
      </c>
    </row>
    <row r="1191" spans="1:11" x14ac:dyDescent="0.25">
      <c r="A1191" s="13" t="s">
        <v>7</v>
      </c>
      <c r="B1191" s="29">
        <v>45754</v>
      </c>
      <c r="C1191" s="20">
        <v>0.123719</v>
      </c>
      <c r="D1191" s="30">
        <f t="shared" ca="1" si="120"/>
        <v>157.99062385678658</v>
      </c>
      <c r="E1191" s="31">
        <f>+E1188*(1+C1190*F1191/365)</f>
        <v>157.99062385678658</v>
      </c>
      <c r="F1191" s="32">
        <f t="shared" si="119"/>
        <v>3</v>
      </c>
      <c r="G1191" s="20">
        <f t="shared" ca="1" si="121"/>
        <v>0.12479626269270096</v>
      </c>
      <c r="H1191" s="20">
        <f t="shared" ca="1" si="122"/>
        <v>0.1249443054775498</v>
      </c>
      <c r="I1191" s="20">
        <f t="shared" ca="1" si="118"/>
        <v>0.12886507429346811</v>
      </c>
      <c r="J1191" s="20">
        <f t="shared" ca="1" si="114"/>
        <v>0.13378033707579876</v>
      </c>
      <c r="K1191" s="36">
        <v>14</v>
      </c>
    </row>
    <row r="1192" spans="1:11" x14ac:dyDescent="0.25">
      <c r="A1192" s="13" t="s">
        <v>7</v>
      </c>
      <c r="B1192" s="29">
        <v>45755</v>
      </c>
      <c r="C1192" s="20">
        <v>0.12107999999999999</v>
      </c>
      <c r="D1192" s="30">
        <f t="shared" ca="1" si="120"/>
        <v>158.04417575265765</v>
      </c>
      <c r="E1192" s="31">
        <f>+E1191*(1+C1191*F1192/365)</f>
        <v>158.04417575265765</v>
      </c>
      <c r="F1192" s="32">
        <f t="shared" si="119"/>
        <v>1</v>
      </c>
      <c r="G1192" s="20">
        <f t="shared" ca="1" si="121"/>
        <v>0.1243455469603018</v>
      </c>
      <c r="H1192" s="20">
        <f t="shared" ca="1" si="122"/>
        <v>0.12533532553031596</v>
      </c>
      <c r="I1192" s="20">
        <f t="shared" ca="1" si="118"/>
        <v>0.1289076955147721</v>
      </c>
      <c r="J1192" s="20">
        <f t="shared" ca="1" si="114"/>
        <v>0.13374315375336748</v>
      </c>
      <c r="K1192" s="36">
        <v>14</v>
      </c>
    </row>
    <row r="1193" spans="1:11" x14ac:dyDescent="0.25">
      <c r="A1193" s="13" t="s">
        <v>7</v>
      </c>
      <c r="B1193" s="29">
        <v>45756</v>
      </c>
      <c r="C1193" s="20">
        <v>0.12</v>
      </c>
      <c r="D1193" s="30">
        <f t="shared" ca="1" si="120"/>
        <v>158.09660311923335</v>
      </c>
      <c r="E1193" s="31">
        <f>+E1192*(1+C1192*F1193/365)</f>
        <v>158.09660311923335</v>
      </c>
      <c r="F1193" s="32">
        <f t="shared" si="119"/>
        <v>1</v>
      </c>
      <c r="G1193" s="20">
        <f t="shared" ca="1" si="121"/>
        <v>0.12385755204531382</v>
      </c>
      <c r="H1193" s="20">
        <f t="shared" ca="1" si="122"/>
        <v>0.12544787066955596</v>
      </c>
      <c r="I1193" s="20">
        <f t="shared" ca="1" si="118"/>
        <v>0.12892007287101437</v>
      </c>
      <c r="J1193" s="20">
        <f t="shared" ca="1" si="114"/>
        <v>0.13366075033718738</v>
      </c>
      <c r="K1193" s="36">
        <v>14</v>
      </c>
    </row>
    <row r="1194" spans="1:11" x14ac:dyDescent="0.25">
      <c r="A1194" s="13" t="s">
        <v>7</v>
      </c>
      <c r="B1194" s="29">
        <v>45757</v>
      </c>
      <c r="C1194" s="20">
        <v>0.123684</v>
      </c>
      <c r="D1194" s="30">
        <f t="shared" ca="1" si="120"/>
        <v>158.14858008464242</v>
      </c>
      <c r="E1194" s="31">
        <f>+E1193*(1+C1193*F1194/365)</f>
        <v>158.14858008464242</v>
      </c>
      <c r="F1194" s="32">
        <f t="shared" si="119"/>
        <v>1</v>
      </c>
      <c r="G1194" s="20">
        <f t="shared" ca="1" si="121"/>
        <v>0.12318017778863036</v>
      </c>
      <c r="H1194" s="20">
        <f t="shared" ca="1" si="122"/>
        <v>0.12552533555159762</v>
      </c>
      <c r="I1194" s="20">
        <f t="shared" ca="1" si="118"/>
        <v>0.12880547052038793</v>
      </c>
      <c r="J1194" s="20">
        <f t="shared" ca="1" si="114"/>
        <v>0.13357225238887047</v>
      </c>
      <c r="K1194" s="36">
        <v>14</v>
      </c>
    </row>
    <row r="1195" spans="1:11" x14ac:dyDescent="0.25">
      <c r="A1195" s="13" t="s">
        <v>7</v>
      </c>
      <c r="B1195" s="29">
        <v>45758</v>
      </c>
      <c r="C1195" s="20">
        <v>0.125</v>
      </c>
      <c r="D1195" s="30">
        <f t="shared" ca="1" si="120"/>
        <v>158.20217035581828</v>
      </c>
      <c r="E1195" s="31">
        <f>+E1194*(1+C1194*F1195/365)</f>
        <v>158.20217035581828</v>
      </c>
      <c r="F1195" s="32">
        <f t="shared" si="119"/>
        <v>1</v>
      </c>
      <c r="G1195" s="20">
        <f t="shared" ca="1" si="121"/>
        <v>0.12306108049129318</v>
      </c>
      <c r="H1195" s="20">
        <f t="shared" ca="1" si="122"/>
        <v>0.12566430967048883</v>
      </c>
      <c r="I1195" s="20">
        <f t="shared" ca="1" si="118"/>
        <v>0.12873308965811764</v>
      </c>
      <c r="J1195" s="20">
        <f t="shared" ca="1" si="114"/>
        <v>0.13350586005676734</v>
      </c>
      <c r="K1195" s="36">
        <v>14</v>
      </c>
    </row>
    <row r="1196" spans="1:11" x14ac:dyDescent="0.25">
      <c r="A1196" s="23" t="s">
        <v>6</v>
      </c>
      <c r="B1196" s="24">
        <v>45759</v>
      </c>
      <c r="C1196" s="28">
        <v>0.125</v>
      </c>
      <c r="D1196" s="25">
        <f t="shared" ca="1" si="120"/>
        <v>158.25634918128259</v>
      </c>
      <c r="E1196" s="26">
        <f>+E1195*(1+C1195*F1196/365)</f>
        <v>158.25634918128259</v>
      </c>
      <c r="F1196" s="27">
        <f t="shared" si="119"/>
        <v>1</v>
      </c>
      <c r="G1196" s="28">
        <f t="shared" ca="1" si="121"/>
        <v>0.1231946353733339</v>
      </c>
      <c r="H1196" s="28">
        <f t="shared" ca="1" si="122"/>
        <v>0.12573830818095896</v>
      </c>
      <c r="I1196" s="28">
        <f t="shared" ca="1" si="118"/>
        <v>0.12867632144806779</v>
      </c>
      <c r="J1196" s="28">
        <f t="shared" ca="1" si="114"/>
        <v>0.13345663037769093</v>
      </c>
      <c r="K1196" s="36">
        <v>14</v>
      </c>
    </row>
    <row r="1197" spans="1:11" x14ac:dyDescent="0.25">
      <c r="A1197" s="23" t="s">
        <v>6</v>
      </c>
      <c r="B1197" s="24">
        <v>45760</v>
      </c>
      <c r="C1197" s="28">
        <v>0.125</v>
      </c>
      <c r="D1197" s="25">
        <f t="shared" ca="1" si="120"/>
        <v>158.31052800674692</v>
      </c>
      <c r="E1197" s="26">
        <f>+E1195*(1+C1196*F1197/365)</f>
        <v>158.31052800674692</v>
      </c>
      <c r="F1197" s="27">
        <f t="shared" si="119"/>
        <v>2</v>
      </c>
      <c r="G1197" s="28">
        <f t="shared" ca="1" si="121"/>
        <v>0.1233280995239012</v>
      </c>
      <c r="H1197" s="28">
        <f t="shared" ca="1" si="122"/>
        <v>0.12582706012858597</v>
      </c>
      <c r="I1197" s="28">
        <f t="shared" ca="1" si="118"/>
        <v>0.12861959363248568</v>
      </c>
      <c r="J1197" s="28">
        <f t="shared" ca="1" si="114"/>
        <v>0.13340806003351677</v>
      </c>
      <c r="K1197" s="36">
        <v>14</v>
      </c>
    </row>
    <row r="1198" spans="1:11" ht="15.75" customHeight="1" x14ac:dyDescent="0.25">
      <c r="A1198" s="13" t="s">
        <v>7</v>
      </c>
      <c r="B1198" s="29">
        <v>45761</v>
      </c>
      <c r="C1198" s="20">
        <v>0.125</v>
      </c>
      <c r="D1198" s="30">
        <f t="shared" ca="1" si="120"/>
        <v>158.36470683221123</v>
      </c>
      <c r="E1198" s="31">
        <f>+E1195*(1+C1197*F1198/365)</f>
        <v>158.36470683221123</v>
      </c>
      <c r="F1198" s="32">
        <f t="shared" si="119"/>
        <v>3</v>
      </c>
      <c r="G1198" s="20">
        <f t="shared" ca="1" si="121"/>
        <v>0.12346147303541095</v>
      </c>
      <c r="H1198" s="20">
        <f t="shared" ca="1" si="122"/>
        <v>0.12571473078630704</v>
      </c>
      <c r="I1198" s="20">
        <f t="shared" ca="1" si="118"/>
        <v>0.12855713350635709</v>
      </c>
      <c r="J1198" s="20">
        <f t="shared" ca="1" si="114"/>
        <v>0.13334836494878388</v>
      </c>
      <c r="K1198" s="36">
        <v>14</v>
      </c>
    </row>
    <row r="1199" spans="1:11" x14ac:dyDescent="0.25">
      <c r="A1199" s="13" t="s">
        <v>7</v>
      </c>
      <c r="B1199" s="29">
        <v>45762</v>
      </c>
      <c r="C1199" s="20">
        <v>0.125</v>
      </c>
      <c r="D1199" s="30">
        <f t="shared" ca="1" si="120"/>
        <v>158.41894132085238</v>
      </c>
      <c r="E1199" s="31">
        <f>+E1198*(1+C1198*F1199/365)</f>
        <v>158.41894132085238</v>
      </c>
      <c r="F1199" s="32">
        <f t="shared" si="119"/>
        <v>1</v>
      </c>
      <c r="G1199" s="20">
        <f t="shared" ca="1" si="121"/>
        <v>0.12364484417965575</v>
      </c>
      <c r="H1199" s="20">
        <f t="shared" ca="1" si="122"/>
        <v>0.12560679942587488</v>
      </c>
      <c r="I1199" s="20">
        <f t="shared" ca="1" si="118"/>
        <v>0.12849696107290318</v>
      </c>
      <c r="J1199" s="20">
        <f t="shared" ca="1" si="114"/>
        <v>0.13328917790446546</v>
      </c>
      <c r="K1199" s="36">
        <v>14</v>
      </c>
    </row>
    <row r="1200" spans="1:11" x14ac:dyDescent="0.25">
      <c r="A1200" s="13" t="s">
        <v>7</v>
      </c>
      <c r="B1200" s="29">
        <v>45763</v>
      </c>
      <c r="C1200" s="20">
        <v>0.12956100000000001</v>
      </c>
      <c r="D1200" s="30">
        <f t="shared" ca="1" si="120"/>
        <v>158.47319438294855</v>
      </c>
      <c r="E1200" s="31">
        <f>+E1199*(1+C1199*F1200/365)</f>
        <v>158.47319438294855</v>
      </c>
      <c r="F1200" s="32">
        <f t="shared" si="119"/>
        <v>1</v>
      </c>
      <c r="G1200" s="20">
        <f t="shared" ca="1" si="121"/>
        <v>0.12420598594607804</v>
      </c>
      <c r="H1200" s="20">
        <f t="shared" ca="1" si="122"/>
        <v>0.12550038450656631</v>
      </c>
      <c r="I1200" s="20">
        <f t="shared" ca="1" si="118"/>
        <v>0.12843966569157822</v>
      </c>
      <c r="J1200" s="20">
        <f t="shared" ca="1" si="114"/>
        <v>0.1332351710762327</v>
      </c>
      <c r="K1200" s="36">
        <v>14</v>
      </c>
    </row>
    <row r="1201" spans="1:11" x14ac:dyDescent="0.25">
      <c r="A1201" s="13" t="s">
        <v>7</v>
      </c>
      <c r="B1201" s="29">
        <v>45764</v>
      </c>
      <c r="C1201" s="20">
        <v>0.12997400000000001</v>
      </c>
      <c r="D1201" s="30">
        <f t="shared" ca="1" si="120"/>
        <v>158.52944628853061</v>
      </c>
      <c r="E1201" s="31">
        <f>+E1200*(1+C1200*F1201/365)</f>
        <v>158.52944628853061</v>
      </c>
      <c r="F1201" s="32">
        <f t="shared" si="119"/>
        <v>1</v>
      </c>
      <c r="G1201" s="20">
        <f t="shared" ca="1" si="121"/>
        <v>0.12557464663454151</v>
      </c>
      <c r="H1201" s="20">
        <f t="shared" ca="1" si="122"/>
        <v>0.12560245830164388</v>
      </c>
      <c r="I1201" s="20">
        <f t="shared" ca="1" si="118"/>
        <v>0.12843463522598431</v>
      </c>
      <c r="J1201" s="20">
        <f t="shared" ca="1" si="114"/>
        <v>0.13320845104531071</v>
      </c>
      <c r="K1201" s="36">
        <v>14</v>
      </c>
    </row>
    <row r="1202" spans="1:11" x14ac:dyDescent="0.25">
      <c r="A1202" s="13" t="s">
        <v>7</v>
      </c>
      <c r="B1202" s="29">
        <v>45765</v>
      </c>
      <c r="C1202" s="20">
        <v>0.13</v>
      </c>
      <c r="D1202" s="30">
        <f t="shared" ca="1" si="120"/>
        <v>158.58589753853585</v>
      </c>
      <c r="E1202" s="31">
        <f>+E1201*(1+C1201*F1202/365)</f>
        <v>158.58589753853585</v>
      </c>
      <c r="F1202" s="32">
        <f t="shared" si="119"/>
        <v>1</v>
      </c>
      <c r="G1202" s="20">
        <f t="shared" ca="1" si="121"/>
        <v>0.12647507695546203</v>
      </c>
      <c r="H1202" s="20">
        <f t="shared" ca="1" si="122"/>
        <v>0.12567164121464303</v>
      </c>
      <c r="I1202" s="20">
        <f t="shared" ca="1" si="118"/>
        <v>0.1284343372944404</v>
      </c>
      <c r="J1202" s="20">
        <f t="shared" ca="1" si="114"/>
        <v>0.13318446698626923</v>
      </c>
      <c r="K1202" s="36">
        <v>14</v>
      </c>
    </row>
    <row r="1203" spans="1:11" x14ac:dyDescent="0.25">
      <c r="A1203" s="23" t="s">
        <v>6</v>
      </c>
      <c r="B1203" s="24">
        <v>45766</v>
      </c>
      <c r="C1203" s="28">
        <v>0.13</v>
      </c>
      <c r="D1203" s="25">
        <f t="shared" ca="1" si="120"/>
        <v>158.64238018697424</v>
      </c>
      <c r="E1203" s="26">
        <f>+E1202*(1+C1202*F1203/365)</f>
        <v>158.64238018697424</v>
      </c>
      <c r="F1203" s="27">
        <f t="shared" si="119"/>
        <v>1</v>
      </c>
      <c r="G1203" s="28">
        <f t="shared" ca="1" si="121"/>
        <v>0.1271908500772729</v>
      </c>
      <c r="H1203" s="28">
        <f t="shared" ca="1" si="122"/>
        <v>0.12583074712973541</v>
      </c>
      <c r="I1203" s="28">
        <f t="shared" ca="1" si="118"/>
        <v>0.1284348676685943</v>
      </c>
      <c r="J1203" s="28">
        <f t="shared" ca="1" si="114"/>
        <v>0.13315487570845713</v>
      </c>
      <c r="K1203" s="36">
        <v>14</v>
      </c>
    </row>
    <row r="1204" spans="1:11" x14ac:dyDescent="0.25">
      <c r="A1204" s="23" t="s">
        <v>6</v>
      </c>
      <c r="B1204" s="24">
        <v>45767</v>
      </c>
      <c r="C1204" s="28">
        <v>0.13</v>
      </c>
      <c r="D1204" s="25">
        <f t="shared" ca="1" si="120"/>
        <v>158.69886283541263</v>
      </c>
      <c r="E1204" s="26">
        <f>+E1202*(1+C1203*F1204/365)</f>
        <v>158.69886283541263</v>
      </c>
      <c r="F1204" s="27">
        <f t="shared" si="119"/>
        <v>2</v>
      </c>
      <c r="G1204" s="28">
        <f t="shared" ca="1" si="121"/>
        <v>0.12790613327907494</v>
      </c>
      <c r="H1204" s="28">
        <f t="shared" ca="1" si="122"/>
        <v>0.12599752160489308</v>
      </c>
      <c r="I1204" s="28">
        <f t="shared" ca="1" si="118"/>
        <v>0.12843539766535078</v>
      </c>
      <c r="J1204" s="28">
        <f t="shared" ca="1" si="114"/>
        <v>0.13312501091382992</v>
      </c>
      <c r="K1204" s="36">
        <v>14</v>
      </c>
    </row>
    <row r="1205" spans="1:11" x14ac:dyDescent="0.25">
      <c r="A1205" s="13" t="s">
        <v>7</v>
      </c>
      <c r="B1205" s="29">
        <v>45768</v>
      </c>
      <c r="C1205" s="20">
        <v>0.129798</v>
      </c>
      <c r="D1205" s="30">
        <f t="shared" ca="1" si="120"/>
        <v>158.75534548385102</v>
      </c>
      <c r="E1205" s="31">
        <f>+E1202*(1+C1204*F1205/365)</f>
        <v>158.75534548385102</v>
      </c>
      <c r="F1205" s="32">
        <f t="shared" si="119"/>
        <v>3</v>
      </c>
      <c r="G1205" s="20">
        <f t="shared" ca="1" si="121"/>
        <v>0.12862092706371397</v>
      </c>
      <c r="H1205" s="20">
        <f t="shared" ca="1" si="122"/>
        <v>0.12616418192914414</v>
      </c>
      <c r="I1205" s="20">
        <f t="shared" ca="1" si="118"/>
        <v>0.1284343372944404</v>
      </c>
      <c r="J1205" s="20">
        <f t="shared" ca="1" si="114"/>
        <v>0.13309487280868412</v>
      </c>
      <c r="K1205" s="36">
        <v>14</v>
      </c>
    </row>
    <row r="1206" spans="1:11" x14ac:dyDescent="0.25">
      <c r="A1206" s="13" t="s">
        <v>7</v>
      </c>
      <c r="B1206" s="29">
        <v>45679</v>
      </c>
      <c r="C1206" s="20">
        <v>0.13</v>
      </c>
      <c r="D1206" s="30">
        <f t="shared" ca="1" si="120"/>
        <v>158.81180062448968</v>
      </c>
      <c r="E1206" s="31">
        <f>+E1205*(1+C1205*F1206/365)</f>
        <v>158.81180062448968</v>
      </c>
      <c r="F1206" s="32">
        <f t="shared" si="119"/>
        <v>1</v>
      </c>
      <c r="G1206" s="20">
        <f t="shared" ca="1" si="121"/>
        <v>0.1293078111493868</v>
      </c>
      <c r="H1206" s="20">
        <f t="shared" ca="1" si="122"/>
        <v>0.12632859894933715</v>
      </c>
      <c r="I1206" s="20">
        <f t="shared" ca="1" si="118"/>
        <v>0.12840213800206937</v>
      </c>
      <c r="J1206" s="20">
        <f t="shared" ca="1" si="114"/>
        <v>0.13306408731967784</v>
      </c>
      <c r="K1206" s="36">
        <v>14</v>
      </c>
    </row>
    <row r="1207" spans="1:11" ht="17.25" customHeight="1" x14ac:dyDescent="0.25">
      <c r="A1207" s="13" t="s">
        <v>7</v>
      </c>
      <c r="B1207" s="29">
        <v>45770</v>
      </c>
      <c r="C1207" s="20">
        <v>0.13</v>
      </c>
      <c r="D1207" s="30">
        <f t="shared" ca="1" si="120"/>
        <v>158.86836373156143</v>
      </c>
      <c r="E1207" s="31">
        <f>+E1206*(1+C1206*F1207/365)</f>
        <v>158.86836373156143</v>
      </c>
      <c r="F1207" s="32">
        <f t="shared" si="119"/>
        <v>1</v>
      </c>
      <c r="G1207" s="20">
        <f t="shared" ca="1" si="121"/>
        <v>0.13002362306249485</v>
      </c>
      <c r="H1207" s="20">
        <f t="shared" ca="1" si="122"/>
        <v>0.12650125790688346</v>
      </c>
      <c r="I1207" s="20">
        <f t="shared" ca="1" si="118"/>
        <v>0.12837608081547561</v>
      </c>
      <c r="J1207" s="20">
        <f t="shared" ca="1" si="114"/>
        <v>0.13303449769029307</v>
      </c>
      <c r="K1207" s="36">
        <v>14</v>
      </c>
    </row>
    <row r="1208" spans="1:11" x14ac:dyDescent="0.25">
      <c r="A1208" s="13" t="s">
        <v>7</v>
      </c>
      <c r="B1208" s="29">
        <v>45771</v>
      </c>
      <c r="C1208" s="20">
        <v>0.12934899999999999</v>
      </c>
      <c r="D1208" s="30">
        <f t="shared" ca="1" si="120"/>
        <v>158.92494698439734</v>
      </c>
      <c r="E1208" s="31">
        <f>+E1207*(1+C1207*F1208/365)</f>
        <v>158.92494698439734</v>
      </c>
      <c r="F1208" s="32">
        <f t="shared" si="119"/>
        <v>1</v>
      </c>
      <c r="G1208" s="20">
        <f t="shared" ca="1" si="121"/>
        <v>0.1300864714240213</v>
      </c>
      <c r="H1208" s="20">
        <f t="shared" ca="1" si="122"/>
        <v>0.12666959981615811</v>
      </c>
      <c r="I1208" s="20">
        <f t="shared" ca="1" si="118"/>
        <v>0.12835379367477379</v>
      </c>
      <c r="J1208" s="20">
        <f t="shared" ca="1" si="114"/>
        <v>0.13300490846609603</v>
      </c>
      <c r="K1208" s="36">
        <v>14</v>
      </c>
    </row>
    <row r="1209" spans="1:11" x14ac:dyDescent="0.25">
      <c r="A1209" s="13" t="s">
        <v>7</v>
      </c>
      <c r="B1209" s="29">
        <v>45772</v>
      </c>
      <c r="C1209" s="20">
        <v>0.13</v>
      </c>
      <c r="D1209" s="30">
        <f t="shared" ca="1" si="120"/>
        <v>158.9812669377329</v>
      </c>
      <c r="E1209" s="31">
        <f>+E1208*(1+C1208*F1209/365)</f>
        <v>158.9812669377329</v>
      </c>
      <c r="F1209" s="32">
        <f t="shared" si="119"/>
        <v>1</v>
      </c>
      <c r="G1209" s="20">
        <f t="shared" ca="1" si="121"/>
        <v>0.12999699482092739</v>
      </c>
      <c r="H1209" s="20">
        <f t="shared" ca="1" si="122"/>
        <v>0.12681602561396235</v>
      </c>
      <c r="I1209" s="20">
        <f t="shared" ca="1" si="118"/>
        <v>0.12828904153725645</v>
      </c>
      <c r="J1209" s="20">
        <f t="shared" ca="1" si="114"/>
        <v>0.1329717625519293</v>
      </c>
      <c r="K1209" s="36">
        <v>14</v>
      </c>
    </row>
    <row r="1210" spans="1:11" x14ac:dyDescent="0.25">
      <c r="A1210" s="23" t="s">
        <v>6</v>
      </c>
      <c r="B1210" s="24">
        <v>45773</v>
      </c>
      <c r="C1210" s="28">
        <v>0.13</v>
      </c>
      <c r="D1210" s="25">
        <f t="shared" ca="1" si="120"/>
        <v>159.03789040266963</v>
      </c>
      <c r="E1210" s="26">
        <f>+E1209*(1+C1209*F1210/365)</f>
        <v>159.03789040266963</v>
      </c>
      <c r="F1210" s="27">
        <f t="shared" si="119"/>
        <v>1</v>
      </c>
      <c r="G1210" s="28">
        <f t="shared" ca="1" si="121"/>
        <v>0.12999699482092739</v>
      </c>
      <c r="H1210" s="28">
        <f t="shared" ca="1" si="122"/>
        <v>0.12698437183364564</v>
      </c>
      <c r="I1210" s="28">
        <f t="shared" ca="1" si="118"/>
        <v>0.12823232170106069</v>
      </c>
      <c r="J1210" s="28">
        <f t="shared" ca="1" si="114"/>
        <v>0.13294276469871424</v>
      </c>
      <c r="K1210" s="36">
        <v>14</v>
      </c>
    </row>
    <row r="1211" spans="1:11" x14ac:dyDescent="0.25">
      <c r="A1211" s="23" t="s">
        <v>6</v>
      </c>
      <c r="B1211" s="24">
        <v>45774</v>
      </c>
      <c r="C1211" s="28">
        <v>0.13</v>
      </c>
      <c r="D1211" s="25">
        <f t="shared" ca="1" si="120"/>
        <v>159.09451386760637</v>
      </c>
      <c r="E1211" s="26">
        <f>+E1209*(1+C1210*F1211/365)</f>
        <v>159.09451386760637</v>
      </c>
      <c r="F1211" s="27">
        <f t="shared" si="119"/>
        <v>2</v>
      </c>
      <c r="G1211" s="28">
        <f t="shared" ca="1" si="121"/>
        <v>0.12999699482092739</v>
      </c>
      <c r="H1211" s="28">
        <f t="shared" ca="1" si="122"/>
        <v>0.12715116196023682</v>
      </c>
      <c r="I1211" s="28">
        <f t="shared" ca="1" si="118"/>
        <v>0.12817564377550056</v>
      </c>
      <c r="J1211" s="28">
        <f t="shared" ref="J1211:J1280" ca="1" si="123">($D1211/OFFSET($D1211,-180,0)-1)*365/180</f>
        <v>0.13291290283553009</v>
      </c>
      <c r="K1211" s="36">
        <v>14</v>
      </c>
    </row>
    <row r="1212" spans="1:11" x14ac:dyDescent="0.25">
      <c r="A1212" s="13" t="s">
        <v>7</v>
      </c>
      <c r="B1212" s="29">
        <v>45775</v>
      </c>
      <c r="C1212" s="20">
        <v>0.13</v>
      </c>
      <c r="D1212" s="30">
        <f t="shared" ca="1" si="120"/>
        <v>159.1511373325431</v>
      </c>
      <c r="E1212" s="31">
        <f>+E1209*(1+C1211*F1212/365)</f>
        <v>159.1511373325431</v>
      </c>
      <c r="F1212" s="32">
        <f t="shared" si="119"/>
        <v>3</v>
      </c>
      <c r="G1212" s="20">
        <f t="shared" ca="1" si="121"/>
        <v>0.12999699482092739</v>
      </c>
      <c r="H1212" s="20">
        <f t="shared" ca="1" si="122"/>
        <v>0.12724905617961643</v>
      </c>
      <c r="I1212" s="20">
        <f t="shared" ca="1" si="118"/>
        <v>0.12814082790515433</v>
      </c>
      <c r="J1212" s="20">
        <f t="shared" ca="1" si="123"/>
        <v>0.13289139533501707</v>
      </c>
      <c r="K1212" s="36">
        <v>14</v>
      </c>
    </row>
    <row r="1213" spans="1:11" x14ac:dyDescent="0.25">
      <c r="A1213" s="13" t="s">
        <v>7</v>
      </c>
      <c r="B1213" s="29">
        <v>45776</v>
      </c>
      <c r="C1213" s="20">
        <v>0.13</v>
      </c>
      <c r="D1213" s="30">
        <f t="shared" ca="1" si="120"/>
        <v>159.20782129926428</v>
      </c>
      <c r="E1213" s="31">
        <f>+E1212*(1+C1212*F1213/365)</f>
        <v>159.20782129926428</v>
      </c>
      <c r="F1213" s="32">
        <f t="shared" ref="F1213:F1244" si="124">IF(A1212="Working day",1,(IF(A1211="Working day",2,(IF(A1210="Working day",3,IF(A1209="Working day",4,IF(A1208="Working day",5,IF(A1207="Working day",6,7))))))))</f>
        <v>1</v>
      </c>
      <c r="G1213" s="20">
        <f t="shared" ca="1" si="121"/>
        <v>0.13002591362348873</v>
      </c>
      <c r="H1213" s="20">
        <f t="shared" ca="1" si="122"/>
        <v>0.12735155426682165</v>
      </c>
      <c r="I1213" s="20">
        <f t="shared" ca="1" si="118"/>
        <v>0.12810238632983889</v>
      </c>
      <c r="J1213" s="20">
        <f t="shared" ca="1" si="123"/>
        <v>0.13287837683875534</v>
      </c>
      <c r="K1213" s="36">
        <v>14</v>
      </c>
    </row>
    <row r="1214" spans="1:11" x14ac:dyDescent="0.25">
      <c r="A1214" s="13" t="s">
        <v>7</v>
      </c>
      <c r="B1214" s="29">
        <v>45777</v>
      </c>
      <c r="C1214" s="20">
        <v>0.13304299999999999</v>
      </c>
      <c r="D1214" s="30">
        <f t="shared" ca="1" si="120"/>
        <v>159.26452545479552</v>
      </c>
      <c r="E1214" s="31">
        <f>+E1213*(1+C1213*F1214/365)</f>
        <v>159.26452545479552</v>
      </c>
      <c r="F1214" s="32">
        <f t="shared" si="124"/>
        <v>1</v>
      </c>
      <c r="G1214" s="20">
        <f t="shared" ca="1" si="121"/>
        <v>0.13002591362347715</v>
      </c>
      <c r="H1214" s="20">
        <f t="shared" ca="1" si="122"/>
        <v>0.12745553953776725</v>
      </c>
      <c r="I1214" s="20">
        <f t="shared" ca="1" si="118"/>
        <v>0.12809631360097379</v>
      </c>
      <c r="J1214" s="20">
        <f t="shared" ca="1" si="123"/>
        <v>0.13284016231062201</v>
      </c>
      <c r="K1214" s="36">
        <v>14</v>
      </c>
    </row>
    <row r="1215" spans="1:11" x14ac:dyDescent="0.25">
      <c r="A1215" s="13" t="s">
        <v>7</v>
      </c>
      <c r="B1215" s="29">
        <v>45778</v>
      </c>
      <c r="C1215" s="20">
        <v>0.12826699999999999</v>
      </c>
      <c r="D1215" s="30">
        <f t="shared" ca="1" si="120"/>
        <v>159.32257759249438</v>
      </c>
      <c r="E1215" s="31">
        <f>+E1214*(1+C1214*F1215/365)</f>
        <v>159.32257759249438</v>
      </c>
      <c r="F1215" s="32">
        <f t="shared" si="124"/>
        <v>1</v>
      </c>
      <c r="G1215" s="20">
        <f t="shared" ca="1" si="121"/>
        <v>0.13046155677287871</v>
      </c>
      <c r="H1215" s="20">
        <f t="shared" ca="1" si="122"/>
        <v>0.1276634713121291</v>
      </c>
      <c r="I1215" s="20">
        <f t="shared" ca="1" si="118"/>
        <v>0.12807389064314242</v>
      </c>
      <c r="J1215" s="20">
        <f t="shared" ca="1" si="123"/>
        <v>0.13283987827813165</v>
      </c>
      <c r="K1215" s="36">
        <v>14</v>
      </c>
    </row>
    <row r="1216" spans="1:11" x14ac:dyDescent="0.25">
      <c r="A1216" s="13" t="s">
        <v>7</v>
      </c>
      <c r="B1216" s="29">
        <v>45779</v>
      </c>
      <c r="C1216" s="20">
        <v>0.122415</v>
      </c>
      <c r="D1216" s="30">
        <f t="shared" ca="1" si="120"/>
        <v>159.37856616526167</v>
      </c>
      <c r="E1216" s="31">
        <f>+E1215*(1+C1215*F1216/365)</f>
        <v>159.37856616526167</v>
      </c>
      <c r="F1216" s="32">
        <f t="shared" si="124"/>
        <v>1</v>
      </c>
      <c r="G1216" s="20">
        <f t="shared" ca="1" si="121"/>
        <v>0.1303066535009659</v>
      </c>
      <c r="H1216" s="20">
        <f t="shared" ca="1" si="122"/>
        <v>0.12779068266239604</v>
      </c>
      <c r="I1216" s="20">
        <f t="shared" ca="1" si="118"/>
        <v>0.1279967455404788</v>
      </c>
      <c r="J1216" s="20">
        <f t="shared" ca="1" si="123"/>
        <v>0.13281162007300765</v>
      </c>
      <c r="K1216" s="36">
        <v>14</v>
      </c>
    </row>
    <row r="1217" spans="1:11" x14ac:dyDescent="0.25">
      <c r="A1217" s="23" t="s">
        <v>6</v>
      </c>
      <c r="B1217" s="24">
        <v>45780</v>
      </c>
      <c r="C1217" s="28">
        <v>0.122415</v>
      </c>
      <c r="D1217" s="25">
        <f t="shared" ca="1" si="120"/>
        <v>159.43201911643186</v>
      </c>
      <c r="E1217" s="26">
        <f>+E1216*(1+C1216*F1217/365)</f>
        <v>159.43201911643186</v>
      </c>
      <c r="F1217" s="27">
        <f t="shared" si="124"/>
        <v>1</v>
      </c>
      <c r="G1217" s="28">
        <f t="shared" ca="1" si="121"/>
        <v>0.1292207609492822</v>
      </c>
      <c r="H1217" s="28">
        <f t="shared" ca="1" si="122"/>
        <v>0.12771266478198082</v>
      </c>
      <c r="I1217" s="28">
        <f t="shared" ca="1" si="118"/>
        <v>0.12785312414280295</v>
      </c>
      <c r="J1217" s="28">
        <f t="shared" ca="1" si="123"/>
        <v>0.13274902123480747</v>
      </c>
      <c r="K1217" s="36">
        <v>14</v>
      </c>
    </row>
    <row r="1218" spans="1:11" x14ac:dyDescent="0.25">
      <c r="A1218" s="23" t="s">
        <v>6</v>
      </c>
      <c r="B1218" s="24">
        <v>45781</v>
      </c>
      <c r="C1218" s="28">
        <v>0.122415</v>
      </c>
      <c r="D1218" s="25">
        <f t="shared" ca="1" si="120"/>
        <v>159.48547206760207</v>
      </c>
      <c r="E1218" s="26">
        <f>+E1216*(1+C1217*F1218/365)</f>
        <v>159.48547206760207</v>
      </c>
      <c r="F1218" s="27">
        <f t="shared" si="124"/>
        <v>2</v>
      </c>
      <c r="G1218" s="28">
        <f t="shared" ca="1" si="121"/>
        <v>0.12813564135950503</v>
      </c>
      <c r="H1218" s="28">
        <f t="shared" ca="1" si="122"/>
        <v>0.12764053848433238</v>
      </c>
      <c r="I1218" s="28">
        <f t="shared" ca="1" si="118"/>
        <v>0.12770960886786203</v>
      </c>
      <c r="J1218" s="28">
        <f t="shared" ca="1" si="123"/>
        <v>0.13275306248635779</v>
      </c>
      <c r="K1218" s="36">
        <v>14</v>
      </c>
    </row>
    <row r="1219" spans="1:11" x14ac:dyDescent="0.25">
      <c r="A1219" s="13" t="s">
        <v>7</v>
      </c>
      <c r="B1219" s="29">
        <v>45782</v>
      </c>
      <c r="C1219" s="20">
        <v>0.124224</v>
      </c>
      <c r="D1219" s="30">
        <f t="shared" ca="1" si="120"/>
        <v>159.53892501877226</v>
      </c>
      <c r="E1219" s="31">
        <f>+E1216*(1+C1218*F1219/365)</f>
        <v>159.53892501877226</v>
      </c>
      <c r="F1219" s="32">
        <f t="shared" si="124"/>
        <v>3</v>
      </c>
      <c r="G1219" s="20">
        <f t="shared" ca="1" si="121"/>
        <v>0.12705129390659486</v>
      </c>
      <c r="H1219" s="20">
        <f t="shared" ca="1" si="122"/>
        <v>0.12758215003403087</v>
      </c>
      <c r="I1219" s="20">
        <f t="shared" ca="1" si="118"/>
        <v>0.12762176801087516</v>
      </c>
      <c r="J1219" s="20">
        <f t="shared" ca="1" si="123"/>
        <v>0.13274001462740409</v>
      </c>
      <c r="K1219" s="36">
        <v>14</v>
      </c>
    </row>
    <row r="1220" spans="1:11" x14ac:dyDescent="0.25">
      <c r="A1220" s="13" t="s">
        <v>7</v>
      </c>
      <c r="B1220" s="29">
        <v>45783</v>
      </c>
      <c r="C1220" s="20">
        <v>0.123033</v>
      </c>
      <c r="D1220" s="30">
        <f t="shared" ca="1" si="120"/>
        <v>159.59322245280384</v>
      </c>
      <c r="E1220" s="31">
        <f>+E1219*(1+C1219*F1220/365)</f>
        <v>159.59322245280384</v>
      </c>
      <c r="F1220" s="32">
        <f t="shared" si="124"/>
        <v>1</v>
      </c>
      <c r="G1220" s="20">
        <f t="shared" ca="1" si="121"/>
        <v>0.12622443500392069</v>
      </c>
      <c r="H1220" s="20">
        <f t="shared" ca="1" si="122"/>
        <v>0.12758885594329261</v>
      </c>
      <c r="I1220" s="20">
        <f t="shared" ca="1" si="118"/>
        <v>0.12761287750597103</v>
      </c>
      <c r="J1220" s="20">
        <f t="shared" ca="1" si="123"/>
        <v>0.13274951179596153</v>
      </c>
      <c r="K1220" s="36">
        <v>14</v>
      </c>
    </row>
    <row r="1221" spans="1:11" x14ac:dyDescent="0.25">
      <c r="A1221" s="13" t="s">
        <v>7</v>
      </c>
      <c r="B1221" s="29">
        <v>45784</v>
      </c>
      <c r="C1221" s="20">
        <v>0.125</v>
      </c>
      <c r="D1221" s="30">
        <f t="shared" ref="D1221:D1252" ca="1" si="125">+IF(F1221=1,D1220*(1+C1220*F1221/365),OFFSET(D1220,-F1221+1,0)*(1+C1220*F1221/365))</f>
        <v>159.64701761153819</v>
      </c>
      <c r="E1221" s="31">
        <f>+E1220*(1+C1220*F1221/365)</f>
        <v>159.64701761153819</v>
      </c>
      <c r="F1221" s="32">
        <f t="shared" si="124"/>
        <v>1</v>
      </c>
      <c r="G1221" s="20">
        <f t="shared" ref="G1221:G1252" ca="1" si="126">(D1221/OFFSET(D1221,-7,0)-1)*365/7</f>
        <v>0.12522709517605654</v>
      </c>
      <c r="H1221" s="20">
        <f t="shared" ca="1" si="122"/>
        <v>0.1275568776858497</v>
      </c>
      <c r="I1221" s="20">
        <f t="shared" ca="1" si="118"/>
        <v>0.12765478716942907</v>
      </c>
      <c r="J1221" s="20">
        <f t="shared" ca="1" si="123"/>
        <v>0.13272202056381321</v>
      </c>
      <c r="K1221" s="36">
        <v>14</v>
      </c>
    </row>
    <row r="1222" spans="1:11" x14ac:dyDescent="0.25">
      <c r="A1222" s="13" t="s">
        <v>7</v>
      </c>
      <c r="B1222" s="29">
        <v>45785</v>
      </c>
      <c r="C1222" s="20">
        <v>0.12570200000000001</v>
      </c>
      <c r="D1222" s="30">
        <f t="shared" ca="1" si="125"/>
        <v>159.70169124770652</v>
      </c>
      <c r="E1222" s="31">
        <f>+E1221*(1+C1221*F1222/365)</f>
        <v>159.70169124770652</v>
      </c>
      <c r="F1222" s="32">
        <f t="shared" si="124"/>
        <v>1</v>
      </c>
      <c r="G1222" s="20">
        <f t="shared" ca="1" si="126"/>
        <v>0.12407575538474587</v>
      </c>
      <c r="H1222" s="20">
        <f t="shared" ca="1" si="122"/>
        <v>0.12760001073785462</v>
      </c>
      <c r="I1222" s="20">
        <f t="shared" ca="1" si="118"/>
        <v>0.12759750332062517</v>
      </c>
      <c r="J1222" s="20">
        <f t="shared" ca="1" si="123"/>
        <v>0.13269243521341273</v>
      </c>
      <c r="K1222" s="36">
        <v>14</v>
      </c>
    </row>
    <row r="1223" spans="1:11" x14ac:dyDescent="0.25">
      <c r="A1223" s="23" t="s">
        <v>6</v>
      </c>
      <c r="B1223" s="24">
        <v>45786</v>
      </c>
      <c r="C1223" s="28">
        <v>0.12570200000000001</v>
      </c>
      <c r="D1223" s="25">
        <f t="shared" ca="1" si="125"/>
        <v>159.75669076001671</v>
      </c>
      <c r="E1223" s="26">
        <f>+E1221*(1+C1222*F1223/365)</f>
        <v>159.70199829484724</v>
      </c>
      <c r="F1223" s="27">
        <f t="shared" si="124"/>
        <v>1</v>
      </c>
      <c r="G1223" s="28">
        <f t="shared" ca="1" si="126"/>
        <v>0.12370858391377748</v>
      </c>
      <c r="H1223" s="28">
        <f t="shared" ca="1" si="122"/>
        <v>0.12775564157840427</v>
      </c>
      <c r="I1223" s="28">
        <f t="shared" ca="1" si="118"/>
        <v>0.12754826279849066</v>
      </c>
      <c r="J1223" s="28">
        <f t="shared" ca="1" si="123"/>
        <v>0.1326672778584301</v>
      </c>
      <c r="K1223" s="36">
        <v>14</v>
      </c>
    </row>
    <row r="1224" spans="1:11" x14ac:dyDescent="0.25">
      <c r="A1224" s="23" t="s">
        <v>6</v>
      </c>
      <c r="B1224" s="24">
        <v>45787</v>
      </c>
      <c r="C1224" s="28">
        <v>0.12570200000000001</v>
      </c>
      <c r="D1224" s="25">
        <f t="shared" ca="1" si="125"/>
        <v>159.8116902723269</v>
      </c>
      <c r="E1224" s="26">
        <f>+E1222*(1+C1223*F1224/365)</f>
        <v>159.8116902723269</v>
      </c>
      <c r="F1224" s="27">
        <f t="shared" si="124"/>
        <v>2</v>
      </c>
      <c r="G1224" s="28">
        <f t="shared" ca="1" si="126"/>
        <v>0.12417291678806881</v>
      </c>
      <c r="H1224" s="28">
        <f t="shared" ca="1" si="122"/>
        <v>0.127946183725865</v>
      </c>
      <c r="I1224" s="28">
        <f t="shared" ca="1" si="118"/>
        <v>0.12749905732682934</v>
      </c>
      <c r="J1224" s="28">
        <f t="shared" ca="1" si="123"/>
        <v>0.13264213840462716</v>
      </c>
      <c r="K1224" s="36">
        <v>14</v>
      </c>
    </row>
    <row r="1225" spans="1:11" x14ac:dyDescent="0.25">
      <c r="A1225" s="23" t="s">
        <v>6</v>
      </c>
      <c r="B1225" s="24">
        <v>45788</v>
      </c>
      <c r="C1225" s="28">
        <v>0.12570200000000001</v>
      </c>
      <c r="D1225" s="25">
        <f t="shared" ca="1" si="125"/>
        <v>159.86668978463709</v>
      </c>
      <c r="E1225" s="26">
        <f>+E1223*(1+C1224*F1225/365)</f>
        <v>159.86699714900882</v>
      </c>
      <c r="F1225" s="27">
        <f t="shared" si="124"/>
        <v>3</v>
      </c>
      <c r="G1225" s="28">
        <f t="shared" ca="1" si="126"/>
        <v>0.12463693841189917</v>
      </c>
      <c r="H1225" s="28">
        <f t="shared" ca="1" si="122"/>
        <v>0.12801122136997306</v>
      </c>
      <c r="I1225" s="28">
        <f t="shared" ca="1" si="118"/>
        <v>0.12744988686822931</v>
      </c>
      <c r="J1225" s="28">
        <f t="shared" ca="1" si="123"/>
        <v>0.13259309106493569</v>
      </c>
      <c r="K1225" s="36">
        <v>14</v>
      </c>
    </row>
    <row r="1226" spans="1:11" x14ac:dyDescent="0.25">
      <c r="A1226" s="13" t="s">
        <v>7</v>
      </c>
      <c r="B1226" s="29">
        <v>45789</v>
      </c>
      <c r="C1226" s="20">
        <v>0.12839300000000001</v>
      </c>
      <c r="D1226" s="30">
        <f t="shared" ca="1" si="125"/>
        <v>159.92168929694728</v>
      </c>
      <c r="E1226" s="31">
        <f>+E1222*(1+C1225*F1226/365)</f>
        <v>159.92168929694728</v>
      </c>
      <c r="F1226" s="32">
        <f t="shared" si="124"/>
        <v>4</v>
      </c>
      <c r="G1226" s="20">
        <f t="shared" ca="1" si="126"/>
        <v>0.12510064909814195</v>
      </c>
      <c r="H1226" s="20">
        <f t="shared" ca="1" si="122"/>
        <v>0.12803049090125809</v>
      </c>
      <c r="I1226" s="20">
        <f t="shared" ca="1" si="118"/>
        <v>0.12739916178804592</v>
      </c>
      <c r="J1226" s="20">
        <f t="shared" ca="1" si="123"/>
        <v>0.13254883594718753</v>
      </c>
      <c r="K1226" s="36">
        <v>14</v>
      </c>
    </row>
    <row r="1227" spans="1:11" x14ac:dyDescent="0.25">
      <c r="A1227" s="13" t="s">
        <v>7</v>
      </c>
      <c r="B1227" s="29">
        <v>45790</v>
      </c>
      <c r="C1227" s="20">
        <v>0.128964</v>
      </c>
      <c r="D1227" s="30">
        <f t="shared" ca="1" si="125"/>
        <v>159.97794361325933</v>
      </c>
      <c r="E1227" s="31">
        <f>+E1226*(1+C1226*F1227/365)</f>
        <v>159.97794361325933</v>
      </c>
      <c r="F1227" s="32">
        <f t="shared" si="124"/>
        <v>1</v>
      </c>
      <c r="G1227" s="20">
        <f t="shared" ca="1" si="126"/>
        <v>0.1256974463022496</v>
      </c>
      <c r="H1227" s="20">
        <f t="shared" ca="1" si="122"/>
        <v>0.1281461829144418</v>
      </c>
      <c r="I1227" s="20">
        <f t="shared" ca="1" si="118"/>
        <v>0.12738075188409065</v>
      </c>
      <c r="J1227" s="20">
        <f t="shared" ca="1" si="123"/>
        <v>0.13253267185734494</v>
      </c>
      <c r="K1227" s="36">
        <v>14</v>
      </c>
    </row>
    <row r="1228" spans="1:11" x14ac:dyDescent="0.25">
      <c r="A1228" s="13" t="s">
        <v>7</v>
      </c>
      <c r="B1228" s="29">
        <v>45791</v>
      </c>
      <c r="C1228" s="20">
        <v>0.12953000000000001</v>
      </c>
      <c r="D1228" s="30">
        <f t="shared" ca="1" si="125"/>
        <v>160.0344679845474</v>
      </c>
      <c r="E1228" s="31">
        <f>+E1227*(1+C1227*F1228/365)</f>
        <v>160.0344679845474</v>
      </c>
      <c r="F1228" s="32">
        <f t="shared" si="124"/>
        <v>1</v>
      </c>
      <c r="G1228" s="20">
        <f t="shared" ca="1" si="126"/>
        <v>0.12654648832165621</v>
      </c>
      <c r="H1228" s="20">
        <f t="shared" ca="1" si="122"/>
        <v>0.12828254324966523</v>
      </c>
      <c r="I1228" s="20">
        <f t="shared" ca="1" si="118"/>
        <v>0.12754073030896232</v>
      </c>
      <c r="J1228" s="20">
        <f t="shared" ca="1" si="123"/>
        <v>0.13251972648350382</v>
      </c>
      <c r="K1228" s="36">
        <v>14</v>
      </c>
    </row>
    <row r="1229" spans="1:11" x14ac:dyDescent="0.25">
      <c r="A1229" s="13" t="s">
        <v>7</v>
      </c>
      <c r="B1229" s="29">
        <v>45792</v>
      </c>
      <c r="C1229" s="20">
        <v>0.129971</v>
      </c>
      <c r="D1229" s="30">
        <f t="shared" ca="1" si="125"/>
        <v>160.09126049040503</v>
      </c>
      <c r="E1229" s="31">
        <f>+E1228*(1+C1228*F1229/365)</f>
        <v>160.09126049040503</v>
      </c>
      <c r="F1229" s="32">
        <f t="shared" si="124"/>
        <v>1</v>
      </c>
      <c r="G1229" s="20">
        <f t="shared" ca="1" si="126"/>
        <v>0.12719497965599727</v>
      </c>
      <c r="H1229" s="20">
        <f t="shared" ca="1" si="122"/>
        <v>0.12843508311935625</v>
      </c>
      <c r="I1229" s="20">
        <f t="shared" ca="1" si="118"/>
        <v>0.12753534577398976</v>
      </c>
      <c r="J1229" s="20">
        <f t="shared" ca="1" si="123"/>
        <v>0.13250601798516701</v>
      </c>
      <c r="K1229" s="36">
        <v>14</v>
      </c>
    </row>
    <row r="1230" spans="1:11" x14ac:dyDescent="0.25">
      <c r="A1230" s="13" t="s">
        <v>7</v>
      </c>
      <c r="B1230" s="29">
        <v>45793</v>
      </c>
      <c r="C1230" s="20">
        <v>0.13</v>
      </c>
      <c r="D1230" s="30">
        <f t="shared" ca="1" si="125"/>
        <v>160.14826657593159</v>
      </c>
      <c r="E1230" s="31">
        <f>+E1229*(1+C1229*F1230/365)</f>
        <v>160.14826657593159</v>
      </c>
      <c r="F1230" s="32">
        <f t="shared" si="124"/>
        <v>1</v>
      </c>
      <c r="G1230" s="20">
        <f t="shared" ca="1" si="126"/>
        <v>0.12780611398941472</v>
      </c>
      <c r="H1230" s="20">
        <f t="shared" ca="1" si="122"/>
        <v>0.12860247497364591</v>
      </c>
      <c r="I1230" s="20">
        <f t="shared" ca="1" si="118"/>
        <v>0.12753501353715271</v>
      </c>
      <c r="J1230" s="20">
        <f t="shared" ca="1" si="123"/>
        <v>0.13249520040355267</v>
      </c>
      <c r="K1230" s="36">
        <v>14</v>
      </c>
    </row>
    <row r="1231" spans="1:11" x14ac:dyDescent="0.25">
      <c r="A1231" s="23" t="s">
        <v>6</v>
      </c>
      <c r="B1231" s="24">
        <v>45794</v>
      </c>
      <c r="C1231" s="28">
        <v>0.13</v>
      </c>
      <c r="D1231" s="25">
        <f t="shared" ca="1" si="125"/>
        <v>160.20530568457508</v>
      </c>
      <c r="E1231" s="26">
        <f>+E1230*(1+C1230*F1231/365)</f>
        <v>160.20530568457508</v>
      </c>
      <c r="F1231" s="27">
        <f t="shared" si="124"/>
        <v>1</v>
      </c>
      <c r="G1231" s="28">
        <f t="shared" ca="1" si="126"/>
        <v>0.12842760235567821</v>
      </c>
      <c r="H1231" s="28">
        <f t="shared" ca="1" si="122"/>
        <v>0.12861725773497354</v>
      </c>
      <c r="I1231" s="28">
        <f t="shared" ca="1" si="118"/>
        <v>0.12753554379730603</v>
      </c>
      <c r="J1231" s="28">
        <f t="shared" ca="1" si="123"/>
        <v>0.13248483592352936</v>
      </c>
      <c r="K1231" s="36">
        <v>14</v>
      </c>
    </row>
    <row r="1232" spans="1:11" x14ac:dyDescent="0.25">
      <c r="A1232" s="23" t="s">
        <v>6</v>
      </c>
      <c r="B1232" s="24">
        <v>45795</v>
      </c>
      <c r="C1232" s="28">
        <v>0.13</v>
      </c>
      <c r="D1232" s="25">
        <f t="shared" ca="1" si="125"/>
        <v>160.26234479321857</v>
      </c>
      <c r="E1232" s="26">
        <f>+E1230*(1+C1231*F1232/365)</f>
        <v>160.26234479321857</v>
      </c>
      <c r="F1232" s="27">
        <f t="shared" si="124"/>
        <v>2</v>
      </c>
      <c r="G1232" s="28">
        <f t="shared" ca="1" si="126"/>
        <v>0.12904866309618829</v>
      </c>
      <c r="H1232" s="28">
        <f t="shared" ca="1" si="122"/>
        <v>0.12861657466747167</v>
      </c>
      <c r="I1232" s="28">
        <f t="shared" ca="1" si="118"/>
        <v>0.12753607368014386</v>
      </c>
      <c r="J1232" s="28">
        <f t="shared" ca="1" si="123"/>
        <v>0.13247145137611355</v>
      </c>
      <c r="K1232" s="36">
        <v>14</v>
      </c>
    </row>
    <row r="1233" spans="1:11" x14ac:dyDescent="0.25">
      <c r="A1233" s="13" t="s">
        <v>7</v>
      </c>
      <c r="B1233" s="29">
        <v>45796</v>
      </c>
      <c r="C1233" s="20">
        <v>0.13</v>
      </c>
      <c r="D1233" s="30">
        <f t="shared" ca="1" si="125"/>
        <v>160.31938390186204</v>
      </c>
      <c r="E1233" s="31">
        <f>+E1230*(1+C1232*F1233/365)</f>
        <v>160.31938390186204</v>
      </c>
      <c r="F1233" s="32">
        <f t="shared" si="124"/>
        <v>3</v>
      </c>
      <c r="G1233" s="20">
        <f t="shared" ca="1" si="126"/>
        <v>0.12966929665212623</v>
      </c>
      <c r="H1233" s="20">
        <f t="shared" ca="1" si="122"/>
        <v>0.12861345860894213</v>
      </c>
      <c r="I1233" s="20">
        <f t="shared" ca="1" si="118"/>
        <v>0.12753501353715271</v>
      </c>
      <c r="J1233" s="20">
        <f t="shared" ca="1" si="123"/>
        <v>0.13245979298387314</v>
      </c>
      <c r="K1233" s="36">
        <v>14</v>
      </c>
    </row>
    <row r="1234" spans="1:11" x14ac:dyDescent="0.25">
      <c r="A1234" s="13" t="s">
        <v>7</v>
      </c>
      <c r="B1234" s="29">
        <v>45797</v>
      </c>
      <c r="C1234" s="20">
        <v>0.13</v>
      </c>
      <c r="D1234" s="30">
        <f t="shared" ca="1" si="125"/>
        <v>160.37648395640244</v>
      </c>
      <c r="E1234" s="31">
        <f>+E1233*(1+C1233*F1234/365)</f>
        <v>160.37648395640244</v>
      </c>
      <c r="F1234" s="32">
        <f t="shared" si="124"/>
        <v>1</v>
      </c>
      <c r="G1234" s="20">
        <f t="shared" ca="1" si="126"/>
        <v>0.12989935805409811</v>
      </c>
      <c r="H1234" s="20">
        <f t="shared" ca="1" si="122"/>
        <v>0.12861501719272689</v>
      </c>
      <c r="I1234" s="20">
        <f t="shared" ca="1" si="118"/>
        <v>0.12753501353715271</v>
      </c>
      <c r="J1234" s="20">
        <f t="shared" ca="1" si="123"/>
        <v>0.13245006654513627</v>
      </c>
      <c r="K1234" s="36">
        <v>14</v>
      </c>
    </row>
    <row r="1235" spans="1:11" x14ac:dyDescent="0.25">
      <c r="A1235" s="13" t="s">
        <v>7</v>
      </c>
      <c r="B1235" s="29">
        <v>45798</v>
      </c>
      <c r="C1235" s="20">
        <v>0.12833800000000001</v>
      </c>
      <c r="D1235" s="30">
        <f t="shared" ca="1" si="125"/>
        <v>160.43360434794855</v>
      </c>
      <c r="E1235" s="31">
        <f>+E1234*(1+C1234*F1235/365)</f>
        <v>160.43360434794855</v>
      </c>
      <c r="F1235" s="32">
        <f t="shared" si="124"/>
        <v>1</v>
      </c>
      <c r="G1235" s="20">
        <f t="shared" ca="1" si="126"/>
        <v>0.13004767435071746</v>
      </c>
      <c r="H1235" s="20">
        <f t="shared" ca="1" si="122"/>
        <v>0.12861813325164817</v>
      </c>
      <c r="I1235" s="20">
        <f t="shared" ca="1" si="118"/>
        <v>0.12753501353715271</v>
      </c>
      <c r="J1235" s="20">
        <f t="shared" ca="1" si="123"/>
        <v>0.13243972840784179</v>
      </c>
      <c r="K1235" s="36">
        <v>14</v>
      </c>
    </row>
    <row r="1236" spans="1:11" x14ac:dyDescent="0.25">
      <c r="A1236" s="13" t="s">
        <v>7</v>
      </c>
      <c r="B1236" s="29">
        <v>45799</v>
      </c>
      <c r="C1236" s="20">
        <v>0.13</v>
      </c>
      <c r="D1236" s="30">
        <f t="shared" ca="1" si="125"/>
        <v>160.49001456141377</v>
      </c>
      <c r="E1236" s="31">
        <f>+E1235*(1+C1235*F1236/365)</f>
        <v>160.49001456141377</v>
      </c>
      <c r="F1236" s="32">
        <f t="shared" si="124"/>
        <v>1</v>
      </c>
      <c r="G1236" s="20">
        <f t="shared" ca="1" si="126"/>
        <v>0.12987702449246297</v>
      </c>
      <c r="H1236" s="20">
        <f t="shared" ca="1" si="122"/>
        <v>0.12856896959558398</v>
      </c>
      <c r="I1236" s="20">
        <f t="shared" ca="1" si="118"/>
        <v>0.12751597293099615</v>
      </c>
      <c r="J1236" s="20">
        <f t="shared" ca="1" si="123"/>
        <v>0.13242141162441476</v>
      </c>
      <c r="K1236" s="36">
        <v>14</v>
      </c>
    </row>
    <row r="1237" spans="1:11" x14ac:dyDescent="0.25">
      <c r="A1237" s="13" t="s">
        <v>7</v>
      </c>
      <c r="B1237" s="29">
        <v>45800</v>
      </c>
      <c r="C1237" s="20">
        <v>0.13</v>
      </c>
      <c r="D1237" s="30">
        <f t="shared" ca="1" si="125"/>
        <v>160.54717538851784</v>
      </c>
      <c r="E1237" s="31">
        <f>+E1236*(1+C1236*F1237/365)</f>
        <v>160.54717538851784</v>
      </c>
      <c r="F1237" s="32">
        <f t="shared" si="124"/>
        <v>1</v>
      </c>
      <c r="G1237" s="20">
        <f t="shared" ca="1" si="126"/>
        <v>0.12988117619025724</v>
      </c>
      <c r="H1237" s="20">
        <f t="shared" ca="1" si="122"/>
        <v>0.12856896959558128</v>
      </c>
      <c r="I1237" s="20">
        <f t="shared" ca="1" si="118"/>
        <v>0.12751597293099615</v>
      </c>
      <c r="J1237" s="20">
        <f t="shared" ca="1" si="123"/>
        <v>0.13241320766387274</v>
      </c>
      <c r="K1237" s="36">
        <v>14</v>
      </c>
    </row>
    <row r="1238" spans="1:11" x14ac:dyDescent="0.25">
      <c r="A1238" s="23" t="s">
        <v>6</v>
      </c>
      <c r="B1238" s="24">
        <v>45801</v>
      </c>
      <c r="C1238" s="28">
        <v>0.13</v>
      </c>
      <c r="D1238" s="25">
        <f t="shared" ca="1" si="125"/>
        <v>160.60435657427266</v>
      </c>
      <c r="E1238" s="26">
        <f>+E1237*(1+C1237*F1238/365)</f>
        <v>160.60435657427266</v>
      </c>
      <c r="F1238" s="27">
        <f t="shared" si="124"/>
        <v>1</v>
      </c>
      <c r="G1238" s="28">
        <f t="shared" ca="1" si="126"/>
        <v>0.12988117619024567</v>
      </c>
      <c r="H1238" s="28">
        <f t="shared" ca="1" si="122"/>
        <v>0.12856896959558128</v>
      </c>
      <c r="I1238" s="28">
        <f t="shared" ca="1" si="118"/>
        <v>0.12751650318873609</v>
      </c>
      <c r="J1238" s="28">
        <f t="shared" ca="1" si="123"/>
        <v>0.13240528343609212</v>
      </c>
      <c r="K1238" s="36">
        <v>14</v>
      </c>
    </row>
    <row r="1239" spans="1:11" x14ac:dyDescent="0.25">
      <c r="A1239" s="23" t="s">
        <v>6</v>
      </c>
      <c r="B1239" s="24">
        <v>45802</v>
      </c>
      <c r="C1239" s="28">
        <v>0.13</v>
      </c>
      <c r="D1239" s="25">
        <f t="shared" ca="1" si="125"/>
        <v>160.66153776002747</v>
      </c>
      <c r="E1239" s="26">
        <f>+E1237*(1+C1238*F1239/365)</f>
        <v>160.66153776002747</v>
      </c>
      <c r="F1239" s="27">
        <f t="shared" si="124"/>
        <v>2</v>
      </c>
      <c r="G1239" s="28">
        <f t="shared" ca="1" si="126"/>
        <v>0.12988117619024567</v>
      </c>
      <c r="H1239" s="28">
        <f t="shared" ca="1" si="122"/>
        <v>0.12858933255696617</v>
      </c>
      <c r="I1239" s="28">
        <f t="shared" ca="1" si="118"/>
        <v>0.12751703306916054</v>
      </c>
      <c r="J1239" s="28">
        <f t="shared" ca="1" si="123"/>
        <v>0.13240500960533474</v>
      </c>
      <c r="K1239" s="36">
        <v>14</v>
      </c>
    </row>
    <row r="1240" spans="1:11" x14ac:dyDescent="0.25">
      <c r="A1240" s="13" t="s">
        <v>7</v>
      </c>
      <c r="B1240" s="29">
        <v>45803</v>
      </c>
      <c r="C1240" s="20">
        <v>0.129306</v>
      </c>
      <c r="D1240" s="30">
        <f t="shared" ca="1" si="125"/>
        <v>160.71871894578231</v>
      </c>
      <c r="E1240" s="31">
        <f>+E1237*(1+C1239*F1240/365)</f>
        <v>160.71871894578231</v>
      </c>
      <c r="F1240" s="32">
        <f t="shared" si="124"/>
        <v>3</v>
      </c>
      <c r="G1240" s="20">
        <f t="shared" ca="1" si="126"/>
        <v>0.12988117619025724</v>
      </c>
      <c r="H1240" s="20">
        <f t="shared" ca="1" si="122"/>
        <v>0.12858621650534449</v>
      </c>
      <c r="I1240" s="20">
        <f t="shared" ca="1" si="118"/>
        <v>0.12751597293099706</v>
      </c>
      <c r="J1240" s="20">
        <f t="shared" ca="1" si="123"/>
        <v>0.13240446213880974</v>
      </c>
      <c r="K1240" s="36">
        <v>14</v>
      </c>
    </row>
    <row r="1241" spans="1:11" x14ac:dyDescent="0.25">
      <c r="A1241" s="13" t="s">
        <v>7</v>
      </c>
      <c r="B1241" s="29">
        <v>45804</v>
      </c>
      <c r="C1241" s="20">
        <v>0.13</v>
      </c>
      <c r="D1241" s="30">
        <f t="shared" ca="1" si="125"/>
        <v>160.77565564351383</v>
      </c>
      <c r="E1241" s="31">
        <f>+E1240*(1+C1240*F1241/365)</f>
        <v>160.77565564351383</v>
      </c>
      <c r="F1241" s="32">
        <f t="shared" si="124"/>
        <v>1</v>
      </c>
      <c r="G1241" s="20">
        <f t="shared" ca="1" si="126"/>
        <v>0.12978182176746653</v>
      </c>
      <c r="H1241" s="20">
        <f t="shared" ca="1" si="122"/>
        <v>0.12856440558280455</v>
      </c>
      <c r="I1241" s="20">
        <f t="shared" ca="1" si="118"/>
        <v>0.12750802219662549</v>
      </c>
      <c r="J1241" s="20">
        <f t="shared" ca="1" si="123"/>
        <v>0.13240198324898911</v>
      </c>
      <c r="K1241" s="36">
        <v>14</v>
      </c>
    </row>
    <row r="1242" spans="1:11" x14ac:dyDescent="0.25">
      <c r="A1242" s="13" t="s">
        <v>7</v>
      </c>
      <c r="B1242" s="29">
        <v>45805</v>
      </c>
      <c r="C1242" s="20">
        <v>0.129749</v>
      </c>
      <c r="D1242" s="30">
        <f t="shared" ca="1" si="125"/>
        <v>160.83291820579782</v>
      </c>
      <c r="E1242" s="31">
        <f>+E1241*(1+C1241*F1242/365)</f>
        <v>160.83291820579782</v>
      </c>
      <c r="F1242" s="32">
        <f t="shared" si="124"/>
        <v>1</v>
      </c>
      <c r="G1242" s="20">
        <f t="shared" ca="1" si="126"/>
        <v>0.12978182176746653</v>
      </c>
      <c r="H1242" s="20">
        <f t="shared" ca="1" si="122"/>
        <v>0.1285675216288989</v>
      </c>
      <c r="I1242" s="20">
        <f t="shared" ca="1" si="118"/>
        <v>0.12750802219662641</v>
      </c>
      <c r="J1242" s="20">
        <f t="shared" ca="1" si="123"/>
        <v>0.13238288594495359</v>
      </c>
      <c r="K1242" s="36">
        <v>14</v>
      </c>
    </row>
    <row r="1243" spans="1:11" x14ac:dyDescent="0.25">
      <c r="A1243" s="13" t="s">
        <v>7</v>
      </c>
      <c r="B1243" s="29">
        <v>45806</v>
      </c>
      <c r="C1243" s="20">
        <v>0.13</v>
      </c>
      <c r="D1243" s="30">
        <f t="shared" ca="1" si="125"/>
        <v>160.89009056279588</v>
      </c>
      <c r="E1243" s="31">
        <f>+E1242*(1+C1242*F1243/365)</f>
        <v>160.89009056279588</v>
      </c>
      <c r="F1243" s="32">
        <f t="shared" si="124"/>
        <v>1</v>
      </c>
      <c r="G1243" s="20">
        <f t="shared" ca="1" si="126"/>
        <v>0.12998382387441348</v>
      </c>
      <c r="H1243" s="20">
        <f t="shared" ca="1" si="122"/>
        <v>0.12855906956037338</v>
      </c>
      <c r="I1243" s="20">
        <f t="shared" ca="1" si="118"/>
        <v>0.12761971338532971</v>
      </c>
      <c r="J1243" s="20">
        <f t="shared" ca="1" si="123"/>
        <v>0.13234919993869176</v>
      </c>
      <c r="K1243" s="36">
        <v>14</v>
      </c>
    </row>
    <row r="1244" spans="1:11" x14ac:dyDescent="0.25">
      <c r="A1244" s="13" t="s">
        <v>7</v>
      </c>
      <c r="B1244" s="29">
        <v>45807</v>
      </c>
      <c r="C1244" s="20">
        <v>0.144625</v>
      </c>
      <c r="D1244" s="30">
        <f t="shared" ca="1" si="125"/>
        <v>160.94739388272237</v>
      </c>
      <c r="E1244" s="31">
        <f>+E1243*(1+C1243*F1244/365)</f>
        <v>160.94739388272237</v>
      </c>
      <c r="F1244" s="32">
        <f t="shared" si="124"/>
        <v>1</v>
      </c>
      <c r="G1244" s="20">
        <f t="shared" ca="1" si="126"/>
        <v>0.12998382387441348</v>
      </c>
      <c r="H1244" s="20">
        <f t="shared" ca="1" si="122"/>
        <v>0.12855906956037608</v>
      </c>
      <c r="I1244" s="20">
        <f t="shared" ca="1" si="118"/>
        <v>0.12775934052809793</v>
      </c>
      <c r="J1244" s="20">
        <f t="shared" ca="1" si="123"/>
        <v>0.13231729658389424</v>
      </c>
      <c r="K1244" s="36">
        <v>14</v>
      </c>
    </row>
    <row r="1245" spans="1:11" x14ac:dyDescent="0.25">
      <c r="A1245" s="23" t="s">
        <v>6</v>
      </c>
      <c r="B1245" s="24">
        <v>45808</v>
      </c>
      <c r="C1245" s="28">
        <v>0.144625</v>
      </c>
      <c r="D1245" s="25">
        <f t="shared" ca="1" si="125"/>
        <v>161.01116653159988</v>
      </c>
      <c r="E1245" s="26">
        <f>+E1244*(1+C1244*F1245/365)</f>
        <v>161.01116653159988</v>
      </c>
      <c r="F1245" s="27">
        <f t="shared" ref="F1245:F1276" si="127">IF(A1244="Working day",1,(IF(A1243="Working day",2,(IF(A1242="Working day",3,IF(A1241="Working day",4,IF(A1240="Working day",5,IF(A1239="Working day",6,7))))))))</f>
        <v>1</v>
      </c>
      <c r="G1245" s="28">
        <f t="shared" ca="1" si="126"/>
        <v>0.1320775721261109</v>
      </c>
      <c r="H1245" s="28">
        <f t="shared" ca="1" si="122"/>
        <v>0.12894907344308948</v>
      </c>
      <c r="I1245" s="28">
        <f t="shared" ca="1" si="118"/>
        <v>0.1280669729547404</v>
      </c>
      <c r="J1245" s="28">
        <f t="shared" ca="1" si="123"/>
        <v>0.13237221036861346</v>
      </c>
      <c r="K1245" s="36">
        <v>14</v>
      </c>
    </row>
    <row r="1246" spans="1:11" x14ac:dyDescent="0.25">
      <c r="A1246" s="23" t="s">
        <v>6</v>
      </c>
      <c r="B1246" s="24">
        <v>45809</v>
      </c>
      <c r="C1246" s="28">
        <v>0.144625</v>
      </c>
      <c r="D1246" s="25">
        <f t="shared" ca="1" si="125"/>
        <v>161.07493918047737</v>
      </c>
      <c r="E1246" s="26">
        <f>+E1244*(1+C1245*F1246/365)</f>
        <v>161.07493918047737</v>
      </c>
      <c r="F1246" s="27">
        <f t="shared" si="127"/>
        <v>2</v>
      </c>
      <c r="G1246" s="28">
        <f t="shared" ca="1" si="126"/>
        <v>0.13416983000231722</v>
      </c>
      <c r="H1246" s="28">
        <f t="shared" ca="1" si="122"/>
        <v>0.12949799659420125</v>
      </c>
      <c r="I1246" s="28">
        <f t="shared" ref="I1246:I1309" ca="1" si="128">($D1246/OFFSET($D1246,-90,0)-1)*365/90</f>
        <v>0.12837440698117439</v>
      </c>
      <c r="J1246" s="28">
        <f t="shared" ca="1" si="123"/>
        <v>0.13245750716572643</v>
      </c>
      <c r="K1246" s="36">
        <v>14</v>
      </c>
    </row>
    <row r="1247" spans="1:11" x14ac:dyDescent="0.25">
      <c r="A1247" s="13" t="s">
        <v>7</v>
      </c>
      <c r="B1247" s="29">
        <v>45810</v>
      </c>
      <c r="C1247" s="20">
        <v>0.13</v>
      </c>
      <c r="D1247" s="30">
        <f t="shared" ca="1" si="125"/>
        <v>161.13871182935489</v>
      </c>
      <c r="E1247" s="31">
        <f>+E1244*(1+C1246*F1247/365)</f>
        <v>161.13871182935489</v>
      </c>
      <c r="F1247" s="32">
        <f t="shared" si="127"/>
        <v>3</v>
      </c>
      <c r="G1247" s="20">
        <f t="shared" ca="1" si="126"/>
        <v>0.1362605990938088</v>
      </c>
      <c r="H1247" s="20">
        <f t="shared" ca="1" si="122"/>
        <v>0.1302421022805911</v>
      </c>
      <c r="I1247" s="20">
        <f t="shared" ca="1" si="128"/>
        <v>0.12867581001557607</v>
      </c>
      <c r="J1247" s="20">
        <f t="shared" ca="1" si="123"/>
        <v>0.13254335618319163</v>
      </c>
      <c r="K1247" s="36">
        <v>14</v>
      </c>
    </row>
    <row r="1248" spans="1:11" x14ac:dyDescent="0.25">
      <c r="A1248" s="13" t="s">
        <v>7</v>
      </c>
      <c r="B1248" s="29">
        <v>45811</v>
      </c>
      <c r="C1248" s="20">
        <v>0.12812499999999999</v>
      </c>
      <c r="D1248" s="30">
        <f t="shared" ca="1" si="125"/>
        <v>161.19610369932153</v>
      </c>
      <c r="E1248" s="31">
        <f>+E1247*(1+C1247*F1248/365)</f>
        <v>161.19610369932153</v>
      </c>
      <c r="F1248" s="32">
        <f t="shared" si="127"/>
        <v>1</v>
      </c>
      <c r="G1248" s="20">
        <f t="shared" ca="1" si="126"/>
        <v>0.13635996583079457</v>
      </c>
      <c r="H1248" s="20">
        <f t="shared" ca="1" si="122"/>
        <v>0.13049893876079641</v>
      </c>
      <c r="I1248" s="20">
        <f t="shared" ca="1" si="128"/>
        <v>0.12884771056878183</v>
      </c>
      <c r="J1248" s="20">
        <f t="shared" ca="1" si="123"/>
        <v>0.1325951275055193</v>
      </c>
      <c r="K1248" s="36">
        <v>14</v>
      </c>
    </row>
    <row r="1249" spans="1:11" x14ac:dyDescent="0.25">
      <c r="A1249" s="13" t="s">
        <v>7</v>
      </c>
      <c r="B1249" s="29">
        <v>45812</v>
      </c>
      <c r="C1249" s="20">
        <v>0.115561</v>
      </c>
      <c r="D1249" s="30">
        <f t="shared" ca="1" si="125"/>
        <v>161.2526879480516</v>
      </c>
      <c r="E1249" s="31">
        <f>+E1248*(1+C1248*F1249/365)</f>
        <v>161.2526879480516</v>
      </c>
      <c r="F1249" s="32">
        <f t="shared" si="127"/>
        <v>1</v>
      </c>
      <c r="G1249" s="20">
        <f t="shared" ca="1" si="126"/>
        <v>0.13609150382526414</v>
      </c>
      <c r="H1249" s="20">
        <f t="shared" ca="1" si="122"/>
        <v>0.13069401278577289</v>
      </c>
      <c r="I1249" s="20">
        <f t="shared" ca="1" si="128"/>
        <v>0.12899812973224489</v>
      </c>
      <c r="J1249" s="20">
        <f t="shared" ca="1" si="123"/>
        <v>0.13258403365073462</v>
      </c>
      <c r="K1249" s="36">
        <v>14</v>
      </c>
    </row>
    <row r="1250" spans="1:11" x14ac:dyDescent="0.25">
      <c r="A1250" s="13" t="s">
        <v>7</v>
      </c>
      <c r="B1250" s="29">
        <v>45813</v>
      </c>
      <c r="C1250" s="20">
        <v>0.125358</v>
      </c>
      <c r="D1250" s="30">
        <f t="shared" ca="1" si="125"/>
        <v>161.30374143263234</v>
      </c>
      <c r="E1250" s="31">
        <f>+E1249*(1+C1249*F1250/365)</f>
        <v>161.30374143263234</v>
      </c>
      <c r="F1250" s="32">
        <f t="shared" si="127"/>
        <v>1</v>
      </c>
      <c r="G1250" s="20">
        <f t="shared" ca="1" si="126"/>
        <v>0.13406007876217516</v>
      </c>
      <c r="H1250" s="20">
        <f t="shared" ca="1" si="122"/>
        <v>0.13040224349586257</v>
      </c>
      <c r="I1250" s="20">
        <f t="shared" ca="1" si="128"/>
        <v>0.12898307016113544</v>
      </c>
      <c r="J1250" s="20">
        <f t="shared" ca="1" si="123"/>
        <v>0.13249339014542388</v>
      </c>
      <c r="K1250" s="36">
        <v>14</v>
      </c>
    </row>
    <row r="1251" spans="1:11" x14ac:dyDescent="0.25">
      <c r="A1251" s="23" t="s">
        <v>6</v>
      </c>
      <c r="B1251" s="24">
        <v>45814</v>
      </c>
      <c r="C1251" s="28">
        <v>0.12570200000000001</v>
      </c>
      <c r="D1251" s="25">
        <f t="shared" ca="1" si="125"/>
        <v>161.35914065021731</v>
      </c>
      <c r="E1251" s="26">
        <f>+E1249*(1+C1250*F1251/365)</f>
        <v>161.30806963149212</v>
      </c>
      <c r="F1251" s="27">
        <f t="shared" si="127"/>
        <v>1</v>
      </c>
      <c r="G1251" s="28">
        <f t="shared" ca="1" si="126"/>
        <v>0.13339546766545554</v>
      </c>
      <c r="H1251" s="28">
        <f t="shared" ca="1" si="122"/>
        <v>0.1304805477457521</v>
      </c>
      <c r="I1251" s="28">
        <f t="shared" ca="1" si="128"/>
        <v>0.12900454734824759</v>
      </c>
      <c r="J1251" s="28">
        <f t="shared" ca="1" si="123"/>
        <v>0.13246099126511696</v>
      </c>
      <c r="K1251" s="36">
        <v>14</v>
      </c>
    </row>
    <row r="1252" spans="1:11" x14ac:dyDescent="0.25">
      <c r="A1252" s="23" t="s">
        <v>6</v>
      </c>
      <c r="B1252" s="24">
        <v>45815</v>
      </c>
      <c r="C1252" s="28">
        <v>0.12570200000000001</v>
      </c>
      <c r="D1252" s="25">
        <f t="shared" ca="1" si="125"/>
        <v>161.41484391430666</v>
      </c>
      <c r="E1252" s="26">
        <f>+E1250*(1+C1251*F1252/365)</f>
        <v>161.41484391430666</v>
      </c>
      <c r="F1252" s="27">
        <f t="shared" si="127"/>
        <v>2</v>
      </c>
      <c r="G1252" s="28">
        <f t="shared" ca="1" si="126"/>
        <v>0.13072939319491511</v>
      </c>
      <c r="H1252" s="28">
        <f t="shared" ca="1" si="122"/>
        <v>0.13051431879519471</v>
      </c>
      <c r="I1252" s="28">
        <f t="shared" ca="1" si="128"/>
        <v>0.12916384017845206</v>
      </c>
      <c r="J1252" s="28">
        <f t="shared" ca="1" si="123"/>
        <v>0.1324326846409907</v>
      </c>
      <c r="K1252" s="36">
        <v>14</v>
      </c>
    </row>
    <row r="1253" spans="1:11" x14ac:dyDescent="0.25">
      <c r="A1253" s="23" t="s">
        <v>6</v>
      </c>
      <c r="B1253" s="24">
        <v>45816</v>
      </c>
      <c r="C1253" s="28">
        <v>0.12570200000000001</v>
      </c>
      <c r="D1253" s="25">
        <f t="shared" ref="D1253:D1284" ca="1" si="129">+IF(F1253=1,D1252*(1+C1252*F1253/365),OFFSET(D1252,-F1253+1,0)*(1+C1252*F1253/365))</f>
        <v>161.47039515514385</v>
      </c>
      <c r="E1253" s="26">
        <f>+E1251*(1+C1252*F1253/365)</f>
        <v>161.47472782575639</v>
      </c>
      <c r="F1253" s="27">
        <f t="shared" si="127"/>
        <v>3</v>
      </c>
      <c r="G1253" s="28">
        <f t="shared" ref="G1253:G1284" ca="1" si="130">(D1253/OFFSET(D1253,-7,0)-1)*365/7</f>
        <v>0.12801621716099856</v>
      </c>
      <c r="H1253" s="28">
        <f t="shared" ca="1" si="122"/>
        <v>0.13051140482143567</v>
      </c>
      <c r="I1253" s="28">
        <f t="shared" ca="1" si="128"/>
        <v>0.12925413774962255</v>
      </c>
      <c r="J1253" s="28">
        <f t="shared" ca="1" si="123"/>
        <v>0.13240236449350357</v>
      </c>
      <c r="K1253" s="36">
        <v>14</v>
      </c>
    </row>
    <row r="1254" spans="1:11" x14ac:dyDescent="0.25">
      <c r="A1254" s="13" t="s">
        <v>7</v>
      </c>
      <c r="B1254" s="29">
        <v>45817</v>
      </c>
      <c r="C1254" s="20">
        <v>0.12526799999999999</v>
      </c>
      <c r="D1254" s="30">
        <f t="shared" ca="1" si="129"/>
        <v>161.52594639598101</v>
      </c>
      <c r="E1254" s="31">
        <f>+E1250*(1+C1253*F1254/365)</f>
        <v>161.52594639598101</v>
      </c>
      <c r="F1254" s="32">
        <f t="shared" si="127"/>
        <v>4</v>
      </c>
      <c r="G1254" s="20">
        <f t="shared" ca="1" si="130"/>
        <v>0.12530518867338042</v>
      </c>
      <c r="H1254" s="20">
        <f t="shared" ca="1" si="122"/>
        <v>0.13050849285337487</v>
      </c>
      <c r="I1254" s="20">
        <f t="shared" ca="1" si="128"/>
        <v>0.12934437710429678</v>
      </c>
      <c r="J1254" s="20">
        <f t="shared" ca="1" si="123"/>
        <v>0.1323465889295547</v>
      </c>
      <c r="K1254" s="36">
        <v>14</v>
      </c>
    </row>
    <row r="1255" spans="1:11" x14ac:dyDescent="0.25">
      <c r="A1255" s="13" t="s">
        <v>7</v>
      </c>
      <c r="B1255" s="29">
        <v>45818</v>
      </c>
      <c r="C1255" s="20">
        <v>0.12523699999999999</v>
      </c>
      <c r="D1255" s="30">
        <f t="shared" ca="1" si="129"/>
        <v>161.58138210078414</v>
      </c>
      <c r="E1255" s="31">
        <f>+E1254*(1+C1254*F1255/365)</f>
        <v>161.58138210078414</v>
      </c>
      <c r="F1255" s="32">
        <f t="shared" si="127"/>
        <v>1</v>
      </c>
      <c r="G1255" s="20">
        <f t="shared" ca="1" si="130"/>
        <v>0.12462780542864126</v>
      </c>
      <c r="H1255" s="20">
        <f t="shared" ca="1" si="122"/>
        <v>0.13049679001022743</v>
      </c>
      <c r="I1255" s="20">
        <f t="shared" ca="1" si="128"/>
        <v>0.12940984647733561</v>
      </c>
      <c r="J1255" s="20">
        <f t="shared" ca="1" si="123"/>
        <v>0.13228901479851649</v>
      </c>
      <c r="K1255" s="36">
        <v>14</v>
      </c>
    </row>
    <row r="1256" spans="1:11" x14ac:dyDescent="0.25">
      <c r="A1256" s="13" t="s">
        <v>7</v>
      </c>
      <c r="B1256" s="29">
        <v>45819</v>
      </c>
      <c r="C1256" s="20">
        <v>0.129583</v>
      </c>
      <c r="D1256" s="30">
        <f t="shared" ca="1" si="129"/>
        <v>161.63682310777088</v>
      </c>
      <c r="E1256" s="31">
        <f>+E1255*(1+C1255*F1256/365)</f>
        <v>161.63682310777088</v>
      </c>
      <c r="F1256" s="32">
        <f t="shared" si="127"/>
        <v>1</v>
      </c>
      <c r="G1256" s="20">
        <f t="shared" ca="1" si="130"/>
        <v>0.1242143930229811</v>
      </c>
      <c r="H1256" s="20">
        <f t="shared" ca="1" si="122"/>
        <v>0.13048549860096395</v>
      </c>
      <c r="I1256" s="20">
        <f t="shared" ca="1" si="128"/>
        <v>0.12943775596613918</v>
      </c>
      <c r="J1256" s="20">
        <f t="shared" ca="1" si="123"/>
        <v>0.1322583173112945</v>
      </c>
      <c r="K1256" s="36">
        <v>14</v>
      </c>
    </row>
    <row r="1257" spans="1:11" x14ac:dyDescent="0.25">
      <c r="A1257" s="13" t="s">
        <v>7</v>
      </c>
      <c r="B1257" s="29">
        <v>45820</v>
      </c>
      <c r="C1257" s="20">
        <v>0.12967799999999999</v>
      </c>
      <c r="D1257" s="30">
        <f t="shared" ca="1" si="129"/>
        <v>161.69420772269902</v>
      </c>
      <c r="E1257" s="31">
        <f>+E1256*(1+C1256*F1257/365)</f>
        <v>161.69420772269902</v>
      </c>
      <c r="F1257" s="32">
        <f t="shared" si="127"/>
        <v>1</v>
      </c>
      <c r="G1257" s="20">
        <f t="shared" ca="1" si="130"/>
        <v>0.12622167223909075</v>
      </c>
      <c r="H1257" s="20">
        <f t="shared" ca="1" si="122"/>
        <v>0.1305255765882061</v>
      </c>
      <c r="I1257" s="20">
        <f t="shared" ca="1" si="128"/>
        <v>0.12952099223979413</v>
      </c>
      <c r="J1257" s="20">
        <f t="shared" ca="1" si="123"/>
        <v>0.13224247489669427</v>
      </c>
      <c r="K1257" s="36">
        <v>14</v>
      </c>
    </row>
    <row r="1258" spans="1:11" x14ac:dyDescent="0.25">
      <c r="A1258" s="13" t="s">
        <v>7</v>
      </c>
      <c r="B1258" s="29">
        <v>45821</v>
      </c>
      <c r="C1258" s="20">
        <v>0.12926699999999999</v>
      </c>
      <c r="D1258" s="30">
        <f t="shared" ca="1" si="129"/>
        <v>161.75165479521698</v>
      </c>
      <c r="E1258" s="31">
        <f>+E1257*(1+C1257*F1258/365)</f>
        <v>161.75165479521698</v>
      </c>
      <c r="F1258" s="32">
        <f t="shared" si="127"/>
        <v>1</v>
      </c>
      <c r="G1258" s="20">
        <f t="shared" ca="1" si="130"/>
        <v>0.1268400966117833</v>
      </c>
      <c r="H1258" s="20">
        <f t="shared" ca="1" si="122"/>
        <v>0.1305496234213139</v>
      </c>
      <c r="I1258" s="20">
        <f t="shared" ca="1" si="128"/>
        <v>0.12953734842208611</v>
      </c>
      <c r="J1258" s="20">
        <f t="shared" ca="1" si="123"/>
        <v>0.1322245147927765</v>
      </c>
      <c r="K1258" s="36">
        <v>14</v>
      </c>
    </row>
    <row r="1259" spans="1:11" x14ac:dyDescent="0.25">
      <c r="A1259" s="23" t="s">
        <v>6</v>
      </c>
      <c r="B1259" s="24">
        <v>45822</v>
      </c>
      <c r="C1259" s="28">
        <v>0.12926699999999999</v>
      </c>
      <c r="D1259" s="25">
        <f t="shared" ca="1" si="129"/>
        <v>161.80894014086195</v>
      </c>
      <c r="E1259" s="26">
        <f>+E1258*(1+C1258*F1259/365)</f>
        <v>161.80894014086195</v>
      </c>
      <c r="F1259" s="27">
        <f t="shared" si="127"/>
        <v>1</v>
      </c>
      <c r="G1259" s="28">
        <f t="shared" ca="1" si="130"/>
        <v>0.12730739468249255</v>
      </c>
      <c r="H1259" s="28">
        <f t="shared" ca="1" si="122"/>
        <v>0.13054076583073893</v>
      </c>
      <c r="I1259" s="28">
        <f t="shared" ca="1" si="128"/>
        <v>0.12954951013578123</v>
      </c>
      <c r="J1259" s="28">
        <f t="shared" ca="1" si="123"/>
        <v>0.13220440885328044</v>
      </c>
      <c r="K1259" s="36">
        <v>14</v>
      </c>
    </row>
    <row r="1260" spans="1:11" x14ac:dyDescent="0.25">
      <c r="A1260" s="23" t="s">
        <v>6</v>
      </c>
      <c r="B1260" s="24">
        <v>45823</v>
      </c>
      <c r="C1260" s="28">
        <v>0.12926699999999999</v>
      </c>
      <c r="D1260" s="25">
        <f t="shared" ca="1" si="129"/>
        <v>161.86622548650692</v>
      </c>
      <c r="E1260" s="26">
        <f>+E1258*(1+C1259*F1260/365)</f>
        <v>161.86622548650692</v>
      </c>
      <c r="F1260" s="27">
        <f t="shared" si="127"/>
        <v>2</v>
      </c>
      <c r="G1260" s="28">
        <f t="shared" ca="1" si="130"/>
        <v>0.12782358277653855</v>
      </c>
      <c r="H1260" s="28">
        <f t="shared" ref="H1260:H1310" ca="1" si="131">($D1260/OFFSET($D1260,-30,0)-1)*365/30</f>
        <v>0.13051551452222357</v>
      </c>
      <c r="I1260" s="28">
        <f t="shared" ca="1" si="128"/>
        <v>0.12956166331189001</v>
      </c>
      <c r="J1260" s="28">
        <f t="shared" ca="1" si="123"/>
        <v>0.13219980195315864</v>
      </c>
      <c r="K1260" s="36">
        <v>14</v>
      </c>
    </row>
    <row r="1261" spans="1:11" x14ac:dyDescent="0.25">
      <c r="A1261" s="13" t="s">
        <v>7</v>
      </c>
      <c r="B1261" s="29">
        <v>45824</v>
      </c>
      <c r="C1261" s="20">
        <v>0.1298</v>
      </c>
      <c r="D1261" s="30">
        <f t="shared" ca="1" si="129"/>
        <v>161.92351083215186</v>
      </c>
      <c r="E1261" s="31">
        <f>+E1258*(1+C1260*F1261/365)</f>
        <v>161.92351083215186</v>
      </c>
      <c r="F1261" s="32">
        <f t="shared" si="127"/>
        <v>3</v>
      </c>
      <c r="G1261" s="20">
        <f t="shared" ca="1" si="130"/>
        <v>0.12833941582065253</v>
      </c>
      <c r="H1261" s="20">
        <f t="shared" ca="1" si="131"/>
        <v>0.13048774637137447</v>
      </c>
      <c r="I1261" s="20">
        <f t="shared" ca="1" si="128"/>
        <v>0.12959199780161426</v>
      </c>
      <c r="J1261" s="20">
        <f t="shared" ca="1" si="123"/>
        <v>0.13218262009518597</v>
      </c>
      <c r="K1261" s="36">
        <v>14</v>
      </c>
    </row>
    <row r="1262" spans="1:11" x14ac:dyDescent="0.25">
      <c r="A1262" s="13" t="s">
        <v>7</v>
      </c>
      <c r="B1262" s="29">
        <v>45825</v>
      </c>
      <c r="C1262" s="20">
        <v>0.13</v>
      </c>
      <c r="D1262" s="30">
        <f t="shared" ca="1" si="129"/>
        <v>161.98109349436012</v>
      </c>
      <c r="E1262" s="31">
        <f>+E1261*(1+C1261*F1262/365)</f>
        <v>161.98109349436012</v>
      </c>
      <c r="F1262" s="32">
        <f t="shared" si="127"/>
        <v>1</v>
      </c>
      <c r="G1262" s="20">
        <f t="shared" ca="1" si="130"/>
        <v>0.12898821524255397</v>
      </c>
      <c r="H1262" s="20">
        <f t="shared" ca="1" si="131"/>
        <v>0.13048256942413294</v>
      </c>
      <c r="I1262" s="20">
        <f t="shared" ca="1" si="128"/>
        <v>0.12961355808812922</v>
      </c>
      <c r="J1262" s="20">
        <f t="shared" ca="1" si="123"/>
        <v>0.13217059375540349</v>
      </c>
      <c r="K1262" s="36">
        <v>14</v>
      </c>
    </row>
    <row r="1263" spans="1:11" x14ac:dyDescent="0.25">
      <c r="A1263" s="13" t="s">
        <v>7</v>
      </c>
      <c r="B1263" s="29">
        <v>45826</v>
      </c>
      <c r="C1263" s="20">
        <v>0.129468</v>
      </c>
      <c r="D1263" s="30">
        <f t="shared" ca="1" si="129"/>
        <v>162.03878539067318</v>
      </c>
      <c r="E1263" s="31">
        <f>+E1262*(1+C1262*F1263/365)</f>
        <v>162.03878539067318</v>
      </c>
      <c r="F1263" s="32">
        <f t="shared" si="127"/>
        <v>1</v>
      </c>
      <c r="G1263" s="20">
        <f t="shared" ca="1" si="130"/>
        <v>0.12967009305928615</v>
      </c>
      <c r="H1263" s="20">
        <f t="shared" ca="1" si="131"/>
        <v>0.13048568595636179</v>
      </c>
      <c r="I1263" s="20">
        <f t="shared" ca="1" si="128"/>
        <v>0.12966772883619754</v>
      </c>
      <c r="J1263" s="20">
        <f t="shared" ca="1" si="123"/>
        <v>0.13215375228780019</v>
      </c>
      <c r="K1263" s="36">
        <v>14</v>
      </c>
    </row>
    <row r="1264" spans="1:11" x14ac:dyDescent="0.25">
      <c r="A1264" s="13" t="s">
        <v>7</v>
      </c>
      <c r="B1264" s="29">
        <v>45827</v>
      </c>
      <c r="C1264" s="20">
        <v>0.13</v>
      </c>
      <c r="D1264" s="30">
        <f t="shared" ca="1" si="129"/>
        <v>162.09626165770595</v>
      </c>
      <c r="E1264" s="31">
        <f>+E1263*(1+C1263*F1264/365)</f>
        <v>162.09626165770595</v>
      </c>
      <c r="F1264" s="32">
        <f t="shared" si="127"/>
        <v>1</v>
      </c>
      <c r="G1264" s="20">
        <f t="shared" ca="1" si="130"/>
        <v>0.12965362947782499</v>
      </c>
      <c r="H1264" s="20">
        <f t="shared" ca="1" si="131"/>
        <v>0.13046776881711666</v>
      </c>
      <c r="I1264" s="20">
        <f t="shared" ca="1" si="128"/>
        <v>0.12971894301664202</v>
      </c>
      <c r="J1264" s="20">
        <f t="shared" ca="1" si="123"/>
        <v>0.13214573086927775</v>
      </c>
      <c r="K1264" s="36">
        <v>14</v>
      </c>
    </row>
    <row r="1265" spans="1:11" x14ac:dyDescent="0.25">
      <c r="A1265" s="13" t="s">
        <v>7</v>
      </c>
      <c r="B1265" s="29">
        <v>45828</v>
      </c>
      <c r="C1265" s="20">
        <v>0.13</v>
      </c>
      <c r="D1265" s="30">
        <f t="shared" ca="1" si="129"/>
        <v>162.15399457281691</v>
      </c>
      <c r="E1265" s="31">
        <f>+E1264*(1+C1264*F1265/365)</f>
        <v>162.15399457281691</v>
      </c>
      <c r="F1265" s="32">
        <f t="shared" si="127"/>
        <v>1</v>
      </c>
      <c r="G1265" s="20">
        <f t="shared" ca="1" si="130"/>
        <v>0.12969972747940015</v>
      </c>
      <c r="H1265" s="20">
        <f t="shared" ca="1" si="131"/>
        <v>0.13046776881711936</v>
      </c>
      <c r="I1265" s="20">
        <f t="shared" ca="1" si="128"/>
        <v>0.12977674644773465</v>
      </c>
      <c r="J1265" s="20">
        <f t="shared" ca="1" si="123"/>
        <v>0.13214113379299086</v>
      </c>
      <c r="K1265" s="36">
        <v>14</v>
      </c>
    </row>
    <row r="1266" spans="1:11" x14ac:dyDescent="0.25">
      <c r="A1266" s="23" t="s">
        <v>6</v>
      </c>
      <c r="B1266" s="24">
        <v>45829</v>
      </c>
      <c r="C1266" s="28">
        <v>0.13</v>
      </c>
      <c r="D1266" s="25">
        <f t="shared" ca="1" si="129"/>
        <v>162.21174805033601</v>
      </c>
      <c r="E1266" s="26">
        <f>+E1265*(1+C1265*F1266/365)</f>
        <v>162.21174805033601</v>
      </c>
      <c r="F1266" s="27">
        <f t="shared" si="127"/>
        <v>1</v>
      </c>
      <c r="G1266" s="28">
        <f t="shared" ca="1" si="130"/>
        <v>0.12980466506630398</v>
      </c>
      <c r="H1266" s="28">
        <f t="shared" ca="1" si="131"/>
        <v>0.13052374321106291</v>
      </c>
      <c r="I1266" s="28">
        <f t="shared" ca="1" si="128"/>
        <v>0.12983504087971551</v>
      </c>
      <c r="J1266" s="28">
        <f t="shared" ca="1" si="123"/>
        <v>0.13213681380527417</v>
      </c>
      <c r="K1266" s="36">
        <v>14</v>
      </c>
    </row>
    <row r="1267" spans="1:11" x14ac:dyDescent="0.25">
      <c r="A1267" s="23" t="s">
        <v>6</v>
      </c>
      <c r="B1267" s="24">
        <v>45830</v>
      </c>
      <c r="C1267" s="28">
        <v>0.13</v>
      </c>
      <c r="D1267" s="25">
        <f t="shared" ca="1" si="129"/>
        <v>162.26950152785508</v>
      </c>
      <c r="E1267" s="26">
        <f>+E1265*(1+C1266*F1267/365)</f>
        <v>162.26950152785508</v>
      </c>
      <c r="F1267" s="27">
        <f t="shared" si="127"/>
        <v>2</v>
      </c>
      <c r="G1267" s="28">
        <f t="shared" ca="1" si="130"/>
        <v>0.12990952837723224</v>
      </c>
      <c r="H1267" s="28">
        <f t="shared" ca="1" si="131"/>
        <v>0.13052218438532526</v>
      </c>
      <c r="I1267" s="28">
        <f t="shared" ca="1" si="128"/>
        <v>0.12989329543862277</v>
      </c>
      <c r="J1267" s="28">
        <f t="shared" ca="1" si="123"/>
        <v>0.13213654000854905</v>
      </c>
      <c r="K1267" s="36">
        <v>14</v>
      </c>
    </row>
    <row r="1268" spans="1:11" x14ac:dyDescent="0.25">
      <c r="A1268" s="13" t="s">
        <v>7</v>
      </c>
      <c r="B1268" s="29">
        <v>45831</v>
      </c>
      <c r="C1268" s="20">
        <v>0.13</v>
      </c>
      <c r="D1268" s="30">
        <f t="shared" ca="1" si="129"/>
        <v>162.32725500537418</v>
      </c>
      <c r="E1268" s="31">
        <f>+E1265*(1+C1267*F1268/365)</f>
        <v>162.32725500537418</v>
      </c>
      <c r="F1268" s="32">
        <f t="shared" si="127"/>
        <v>3</v>
      </c>
      <c r="G1268" s="20">
        <f t="shared" ca="1" si="130"/>
        <v>0.13001431749101985</v>
      </c>
      <c r="H1268" s="20">
        <f t="shared" ca="1" si="131"/>
        <v>0.13051906784384903</v>
      </c>
      <c r="I1268" s="20">
        <f t="shared" ca="1" si="128"/>
        <v>0.12994954997094854</v>
      </c>
      <c r="J1268" s="20">
        <f t="shared" ca="1" si="123"/>
        <v>0.13213599261006376</v>
      </c>
      <c r="K1268" s="36">
        <v>14</v>
      </c>
    </row>
    <row r="1269" spans="1:11" x14ac:dyDescent="0.25">
      <c r="A1269" s="13" t="s">
        <v>7</v>
      </c>
      <c r="B1269" s="29">
        <v>45832</v>
      </c>
      <c r="C1269" s="20">
        <v>0.12964800000000001</v>
      </c>
      <c r="D1269" s="30">
        <f t="shared" ca="1" si="129"/>
        <v>162.38507019208842</v>
      </c>
      <c r="E1269" s="31">
        <f>+E1268*(1+C1268*F1269/365)</f>
        <v>162.38507019208842</v>
      </c>
      <c r="F1269" s="32">
        <f t="shared" si="127"/>
        <v>1</v>
      </c>
      <c r="G1269" s="20">
        <f t="shared" ca="1" si="130"/>
        <v>0.13004294997813162</v>
      </c>
      <c r="H1269" s="20">
        <f t="shared" ca="1" si="131"/>
        <v>0.13052062666919226</v>
      </c>
      <c r="I1269" s="20">
        <f t="shared" ca="1" si="128"/>
        <v>0.1300068660285395</v>
      </c>
      <c r="J1269" s="20">
        <f t="shared" ca="1" si="123"/>
        <v>0.13213599261006329</v>
      </c>
      <c r="K1269" s="36">
        <v>14</v>
      </c>
    </row>
    <row r="1270" spans="1:11" x14ac:dyDescent="0.25">
      <c r="A1270" s="13" t="s">
        <v>7</v>
      </c>
      <c r="B1270" s="29">
        <v>45833</v>
      </c>
      <c r="C1270" s="20">
        <v>0.12601999999999999</v>
      </c>
      <c r="D1270" s="30">
        <f t="shared" ca="1" si="129"/>
        <v>162.44274936902065</v>
      </c>
      <c r="E1270" s="31">
        <f>+E1269*(1+C1269*F1270/365)</f>
        <v>162.44274936902065</v>
      </c>
      <c r="F1270" s="32">
        <f t="shared" si="127"/>
        <v>1</v>
      </c>
      <c r="G1270" s="20">
        <f t="shared" ca="1" si="130"/>
        <v>0.12999255680081773</v>
      </c>
      <c r="H1270" s="20">
        <f t="shared" ca="1" si="131"/>
        <v>0.13051188822509777</v>
      </c>
      <c r="I1270" s="20">
        <f t="shared" ca="1" si="128"/>
        <v>0.13006014776530239</v>
      </c>
      <c r="J1270" s="20">
        <f t="shared" ca="1" si="123"/>
        <v>0.13213391036634972</v>
      </c>
      <c r="K1270" s="36">
        <v>14</v>
      </c>
    </row>
    <row r="1271" spans="1:11" x14ac:dyDescent="0.25">
      <c r="A1271" s="13" t="s">
        <v>7</v>
      </c>
      <c r="B1271" s="29">
        <v>45834</v>
      </c>
      <c r="C1271" s="20">
        <v>0.13</v>
      </c>
      <c r="D1271" s="30">
        <f t="shared" ca="1" si="129"/>
        <v>162.49883439717266</v>
      </c>
      <c r="E1271" s="31">
        <f>+E1270*(1+C1270*F1271/365)</f>
        <v>162.49883439717266</v>
      </c>
      <c r="F1271" s="32">
        <f t="shared" si="127"/>
        <v>1</v>
      </c>
      <c r="G1271" s="20">
        <f t="shared" ca="1" si="130"/>
        <v>0.12949893247968439</v>
      </c>
      <c r="H1271" s="20">
        <f t="shared" ca="1" si="131"/>
        <v>0.13040121913317085</v>
      </c>
      <c r="I1271" s="20">
        <f t="shared" ca="1" si="128"/>
        <v>0.13007184055001383</v>
      </c>
      <c r="J1271" s="20">
        <f t="shared" ca="1" si="123"/>
        <v>0.13205121450886961</v>
      </c>
      <c r="K1271" s="36">
        <v>14</v>
      </c>
    </row>
    <row r="1272" spans="1:11" x14ac:dyDescent="0.25">
      <c r="A1272" s="13" t="s">
        <v>7</v>
      </c>
      <c r="B1272" s="29">
        <v>45835</v>
      </c>
      <c r="C1272" s="20">
        <v>0.13</v>
      </c>
      <c r="D1272" s="30">
        <f t="shared" ca="1" si="129"/>
        <v>162.55671069435522</v>
      </c>
      <c r="E1272" s="31">
        <f>+E1271*(1+C1271*F1272/365)</f>
        <v>162.55671069435522</v>
      </c>
      <c r="F1272" s="32">
        <f t="shared" si="127"/>
        <v>1</v>
      </c>
      <c r="G1272" s="20">
        <f t="shared" ca="1" si="130"/>
        <v>0.12949893247969596</v>
      </c>
      <c r="H1272" s="20">
        <f t="shared" ca="1" si="131"/>
        <v>0.13040121913317085</v>
      </c>
      <c r="I1272" s="20">
        <f t="shared" ca="1" si="128"/>
        <v>0.13010623100097499</v>
      </c>
      <c r="J1272" s="20">
        <f t="shared" ca="1" si="123"/>
        <v>0.13199238130053592</v>
      </c>
      <c r="K1272" s="36">
        <v>14</v>
      </c>
    </row>
    <row r="1273" spans="1:11" x14ac:dyDescent="0.25">
      <c r="A1273" s="23" t="s">
        <v>6</v>
      </c>
      <c r="B1273" s="24">
        <v>45836</v>
      </c>
      <c r="C1273" s="28">
        <v>0.13</v>
      </c>
      <c r="D1273" s="25">
        <f t="shared" ca="1" si="129"/>
        <v>162.61460760501348</v>
      </c>
      <c r="E1273" s="26">
        <f>+E1272*(1+C1272*F1273/365)</f>
        <v>162.61460760501348</v>
      </c>
      <c r="F1273" s="27">
        <f t="shared" si="127"/>
        <v>1</v>
      </c>
      <c r="G1273" s="28">
        <f t="shared" ca="1" si="130"/>
        <v>0.12949893247968439</v>
      </c>
      <c r="H1273" s="28">
        <f t="shared" ca="1" si="131"/>
        <v>0.13040967246803911</v>
      </c>
      <c r="I1273" s="28">
        <f t="shared" ca="1" si="128"/>
        <v>0.1301411281270391</v>
      </c>
      <c r="J1273" s="28">
        <f t="shared" ca="1" si="123"/>
        <v>0.1319338669436512</v>
      </c>
      <c r="K1273" s="36">
        <v>14</v>
      </c>
    </row>
    <row r="1274" spans="1:11" x14ac:dyDescent="0.25">
      <c r="A1274" s="23" t="s">
        <v>6</v>
      </c>
      <c r="B1274" s="24">
        <v>45837</v>
      </c>
      <c r="C1274" s="28">
        <v>0.13</v>
      </c>
      <c r="D1274" s="25">
        <f t="shared" ca="1" si="129"/>
        <v>162.67250451567176</v>
      </c>
      <c r="E1274" s="26">
        <f>+E1272*(1+C1273*F1274/365)</f>
        <v>162.67250451567176</v>
      </c>
      <c r="F1274" s="27">
        <f t="shared" si="127"/>
        <v>2</v>
      </c>
      <c r="G1274" s="28">
        <f t="shared" ca="1" si="130"/>
        <v>0.12949893247969596</v>
      </c>
      <c r="H1274" s="28">
        <f t="shared" ca="1" si="131"/>
        <v>0.13040811365676283</v>
      </c>
      <c r="I1274" s="28">
        <f t="shared" ca="1" si="128"/>
        <v>0.13017600099385046</v>
      </c>
      <c r="J1274" s="28">
        <f t="shared" ca="1" si="123"/>
        <v>0.13187539740572943</v>
      </c>
      <c r="K1274" s="36">
        <v>14</v>
      </c>
    </row>
    <row r="1275" spans="1:11" x14ac:dyDescent="0.25">
      <c r="A1275" s="13" t="s">
        <v>7</v>
      </c>
      <c r="B1275" s="29">
        <v>45838</v>
      </c>
      <c r="C1275" s="20">
        <v>0.13</v>
      </c>
      <c r="D1275" s="30">
        <f t="shared" ca="1" si="129"/>
        <v>162.73040142633002</v>
      </c>
      <c r="E1275" s="31">
        <f>+E1272*(1+C1274*F1275/365)</f>
        <v>162.73040142633002</v>
      </c>
      <c r="F1275" s="32">
        <f t="shared" si="127"/>
        <v>3</v>
      </c>
      <c r="G1275" s="20">
        <f t="shared" ca="1" si="130"/>
        <v>0.12949893247968439</v>
      </c>
      <c r="H1275" s="20">
        <f t="shared" ca="1" si="131"/>
        <v>0.1299124671690266</v>
      </c>
      <c r="I1275" s="20">
        <f t="shared" ca="1" si="128"/>
        <v>0.13021084962669643</v>
      </c>
      <c r="J1275" s="20">
        <f ca="1">($D1275/OFFSET($D1275,-180,0)-1)*365/180</f>
        <v>0.13181697263529676</v>
      </c>
      <c r="K1275" s="36">
        <v>14</v>
      </c>
    </row>
    <row r="1276" spans="1:11" x14ac:dyDescent="0.25">
      <c r="A1276" s="13" t="s">
        <v>7</v>
      </c>
      <c r="B1276" s="29">
        <v>45839</v>
      </c>
      <c r="C1276" s="20">
        <v>0.124554</v>
      </c>
      <c r="D1276" s="30">
        <f t="shared" ca="1" si="129"/>
        <v>162.78836019944077</v>
      </c>
      <c r="E1276" s="31">
        <f>+E1275*(1+C1275*F1276/365)</f>
        <v>162.78836019944077</v>
      </c>
      <c r="F1276" s="32">
        <f t="shared" si="127"/>
        <v>1</v>
      </c>
      <c r="G1276" s="20">
        <f t="shared" ca="1" si="130"/>
        <v>0.12949893247969596</v>
      </c>
      <c r="H1276" s="20">
        <f t="shared" ca="1" si="131"/>
        <v>0.12942188588400014</v>
      </c>
      <c r="I1276" s="20">
        <f t="shared" ca="1" si="128"/>
        <v>0.13027402741770719</v>
      </c>
      <c r="J1276" s="20">
        <f t="shared" ca="1" si="123"/>
        <v>0.13175941324323701</v>
      </c>
      <c r="K1276" s="36">
        <v>14</v>
      </c>
    </row>
    <row r="1277" spans="1:11" x14ac:dyDescent="0.25">
      <c r="A1277" s="13" t="s">
        <v>7</v>
      </c>
      <c r="B1277" s="29">
        <v>45840</v>
      </c>
      <c r="C1277" s="20">
        <v>0.12772</v>
      </c>
      <c r="D1277" s="30">
        <f t="shared" ca="1" si="129"/>
        <v>162.84391072386896</v>
      </c>
      <c r="E1277" s="31">
        <f>+E1276*(1+C1276*F1277/365)</f>
        <v>162.84391072386896</v>
      </c>
      <c r="F1277" s="32">
        <f t="shared" ref="F1277:F1308" si="132">IF(A1276="Working day",1,(IF(A1275="Working day",2,(IF(A1274="Working day",3,IF(A1273="Working day",4,IF(A1272="Working day",5,IF(A1271="Working day",6,7))))))))</f>
        <v>1</v>
      </c>
      <c r="G1277" s="20">
        <f t="shared" ca="1" si="130"/>
        <v>0.12876966991965658</v>
      </c>
      <c r="H1277" s="20">
        <f t="shared" ca="1" si="131"/>
        <v>0.12874985975990463</v>
      </c>
      <c r="I1277" s="20">
        <f t="shared" ca="1" si="128"/>
        <v>0.13027198680637575</v>
      </c>
      <c r="J1277" s="20">
        <f t="shared" ca="1" si="123"/>
        <v>0.13166996247735105</v>
      </c>
      <c r="K1277" s="36">
        <v>14</v>
      </c>
    </row>
    <row r="1278" spans="1:11" x14ac:dyDescent="0.25">
      <c r="A1278" s="13" t="s">
        <v>7</v>
      </c>
      <c r="B1278" s="29">
        <v>45841</v>
      </c>
      <c r="C1278" s="20">
        <v>0.124891</v>
      </c>
      <c r="D1278" s="30">
        <f t="shared" ca="1" si="129"/>
        <v>162.90089270819129</v>
      </c>
      <c r="E1278" s="31">
        <f>+E1277*(1+C1277*F1278/365)</f>
        <v>162.90089270819129</v>
      </c>
      <c r="F1278" s="32">
        <f t="shared" si="132"/>
        <v>1</v>
      </c>
      <c r="G1278" s="20">
        <f t="shared" ca="1" si="130"/>
        <v>0.12901304278467887</v>
      </c>
      <c r="H1278" s="20">
        <f t="shared" ca="1" si="131"/>
        <v>0.12867308285940074</v>
      </c>
      <c r="I1278" s="20">
        <f t="shared" ca="1" si="128"/>
        <v>0.1303087178141781</v>
      </c>
      <c r="J1278" s="20">
        <f t="shared" ca="1" si="123"/>
        <v>0.13164464988812771</v>
      </c>
      <c r="K1278" s="36">
        <v>14</v>
      </c>
    </row>
    <row r="1279" spans="1:11" x14ac:dyDescent="0.25">
      <c r="A1279" s="13" t="s">
        <v>7</v>
      </c>
      <c r="B1279" s="29">
        <v>45842</v>
      </c>
      <c r="C1279" s="20">
        <v>0.12776499999999999</v>
      </c>
      <c r="D1279" s="30">
        <f t="shared" ca="1" si="129"/>
        <v>162.95663203803025</v>
      </c>
      <c r="E1279" s="31">
        <f>+E1278*(1+C1278*F1279/365)</f>
        <v>162.95663203803025</v>
      </c>
      <c r="F1279" s="32">
        <f t="shared" si="132"/>
        <v>1</v>
      </c>
      <c r="G1279" s="20">
        <f t="shared" ca="1" si="130"/>
        <v>0.12828164031219447</v>
      </c>
      <c r="H1279" s="20">
        <f t="shared" ca="1" si="131"/>
        <v>0.12856418100816658</v>
      </c>
      <c r="I1279" s="20">
        <f t="shared" ca="1" si="128"/>
        <v>0.13031816433516363</v>
      </c>
      <c r="J1279" s="20">
        <f t="shared" ca="1" si="123"/>
        <v>0.13164400524028252</v>
      </c>
      <c r="K1279" s="36">
        <v>14</v>
      </c>
    </row>
    <row r="1280" spans="1:11" x14ac:dyDescent="0.25">
      <c r="A1280" s="23" t="s">
        <v>6</v>
      </c>
      <c r="B1280" s="24">
        <v>45843</v>
      </c>
      <c r="C1280" s="28">
        <v>0.12776499999999999</v>
      </c>
      <c r="D1280" s="25">
        <f t="shared" ca="1" si="129"/>
        <v>163.01367355609145</v>
      </c>
      <c r="E1280" s="26">
        <f>+E1279*(1+C1279*F1280/365)</f>
        <v>163.01367355609145</v>
      </c>
      <c r="F1280" s="27">
        <f t="shared" si="132"/>
        <v>1</v>
      </c>
      <c r="G1280" s="28">
        <f t="shared" ca="1" si="130"/>
        <v>0.12796168304990166</v>
      </c>
      <c r="H1280" s="28">
        <f t="shared" ca="1" si="131"/>
        <v>0.12897514951592867</v>
      </c>
      <c r="I1280" s="28">
        <f t="shared" ca="1" si="128"/>
        <v>0.1303610424390573</v>
      </c>
      <c r="J1280" s="28">
        <f t="shared" ca="1" si="123"/>
        <v>0.13166061109114058</v>
      </c>
      <c r="K1280" s="36">
        <v>14</v>
      </c>
    </row>
    <row r="1281" spans="1:11" x14ac:dyDescent="0.25">
      <c r="A1281" s="23" t="s">
        <v>6</v>
      </c>
      <c r="B1281" s="24">
        <v>45844</v>
      </c>
      <c r="C1281" s="28">
        <v>0.12776499999999999</v>
      </c>
      <c r="D1281" s="25">
        <f t="shared" ca="1" si="129"/>
        <v>163.07071507415267</v>
      </c>
      <c r="E1281" s="26">
        <f>+E1279*(1+C1280*F1281/365)</f>
        <v>163.07071507415267</v>
      </c>
      <c r="F1281" s="27">
        <f t="shared" si="132"/>
        <v>2</v>
      </c>
      <c r="G1281" s="28">
        <f t="shared" ca="1" si="130"/>
        <v>0.12764195354013899</v>
      </c>
      <c r="H1281" s="28">
        <f t="shared" ca="1" si="131"/>
        <v>0.12905470001451314</v>
      </c>
      <c r="I1281" s="28">
        <f t="shared" ca="1" si="128"/>
        <v>0.13040389142328879</v>
      </c>
      <c r="J1281" s="28">
        <f t="shared" ref="J1281:J1342" ca="1" si="133">($D1281/OFFSET($D1281,-180,0)-1)*365/180</f>
        <v>0.13170627141190991</v>
      </c>
      <c r="K1281" s="36">
        <v>14</v>
      </c>
    </row>
    <row r="1282" spans="1:11" x14ac:dyDescent="0.25">
      <c r="A1282" s="13" t="s">
        <v>7</v>
      </c>
      <c r="B1282" s="29">
        <v>45845</v>
      </c>
      <c r="C1282" s="20">
        <v>0.124386</v>
      </c>
      <c r="D1282" s="30">
        <f t="shared" ca="1" si="129"/>
        <v>163.12775659221384</v>
      </c>
      <c r="E1282" s="31">
        <f>+E1279*(1+C1281*F1282/365)</f>
        <v>163.12775659221384</v>
      </c>
      <c r="F1282" s="32">
        <f t="shared" si="132"/>
        <v>3</v>
      </c>
      <c r="G1282" s="20">
        <f t="shared" ca="1" si="130"/>
        <v>0.1273224515398024</v>
      </c>
      <c r="H1282" s="20">
        <f t="shared" ca="1" si="131"/>
        <v>0.12911103511810748</v>
      </c>
      <c r="I1282" s="20">
        <f t="shared" ca="1" si="128"/>
        <v>0.13044925203851515</v>
      </c>
      <c r="J1282" s="20">
        <f t="shared" ca="1" si="133"/>
        <v>0.13175166846372871</v>
      </c>
      <c r="K1282" s="36">
        <v>14</v>
      </c>
    </row>
    <row r="1283" spans="1:11" x14ac:dyDescent="0.25">
      <c r="A1283" s="13" t="s">
        <v>7</v>
      </c>
      <c r="B1283" s="29">
        <v>45846</v>
      </c>
      <c r="C1283" s="20">
        <v>0.122937</v>
      </c>
      <c r="D1283" s="30">
        <f t="shared" ca="1" si="129"/>
        <v>163.18334785010831</v>
      </c>
      <c r="E1283" s="31">
        <f>+E1282*(1+C1282*F1283/365)</f>
        <v>163.18334785010831</v>
      </c>
      <c r="F1283" s="32">
        <f t="shared" si="132"/>
        <v>1</v>
      </c>
      <c r="G1283" s="20">
        <f t="shared" ca="1" si="130"/>
        <v>0.1265187794552233</v>
      </c>
      <c r="H1283" s="20">
        <f t="shared" ca="1" si="131"/>
        <v>0.12906963183793801</v>
      </c>
      <c r="I1283" s="20">
        <f t="shared" ca="1" si="128"/>
        <v>0.13048715434723465</v>
      </c>
      <c r="J1283" s="20">
        <f t="shared" ca="1" si="133"/>
        <v>0.13177760978754324</v>
      </c>
      <c r="K1283" s="36">
        <v>14</v>
      </c>
    </row>
    <row r="1284" spans="1:11" x14ac:dyDescent="0.25">
      <c r="A1284" s="13" t="s">
        <v>7</v>
      </c>
      <c r="B1284" s="29">
        <v>45847</v>
      </c>
      <c r="C1284" s="20">
        <v>0.12747900000000001</v>
      </c>
      <c r="D1284" s="30">
        <f t="shared" ca="1" si="129"/>
        <v>163.23831023705256</v>
      </c>
      <c r="E1284" s="31">
        <f>+E1283*(1+C1283*F1284/365)</f>
        <v>163.23831023705256</v>
      </c>
      <c r="F1284" s="32">
        <f t="shared" si="132"/>
        <v>1</v>
      </c>
      <c r="G1284" s="20">
        <f t="shared" ca="1" si="130"/>
        <v>0.12628729795133473</v>
      </c>
      <c r="H1284" s="20">
        <f t="shared" ca="1" si="131"/>
        <v>0.12898088840350419</v>
      </c>
      <c r="I1284" s="20">
        <f t="shared" ca="1" si="128"/>
        <v>0.13052082658496167</v>
      </c>
      <c r="J1284" s="20">
        <f t="shared" ca="1" si="133"/>
        <v>0.13173583579005665</v>
      </c>
      <c r="K1284" s="36">
        <v>14</v>
      </c>
    </row>
    <row r="1285" spans="1:11" x14ac:dyDescent="0.25">
      <c r="A1285" s="13" t="s">
        <v>7</v>
      </c>
      <c r="B1285" s="29">
        <v>45848</v>
      </c>
      <c r="C1285" s="20">
        <v>0.12943299999999999</v>
      </c>
      <c r="D1285" s="30">
        <f t="shared" ref="D1285:D1316" ca="1" si="134">+IF(F1285=1,D1284*(1+C1284*F1285/365),OFFSET(D1284,-F1285+1,0)*(1+C1284*F1285/365))</f>
        <v>163.29532244678052</v>
      </c>
      <c r="E1285" s="31">
        <f>+E1284*(1+C1284*F1285/365)</f>
        <v>163.29532244678052</v>
      </c>
      <c r="F1285" s="32">
        <f t="shared" si="132"/>
        <v>1</v>
      </c>
      <c r="G1285" s="20">
        <f t="shared" ref="G1285:G1316" ca="1" si="135">(D1285/OFFSET(D1285,-7,0)-1)*365/7</f>
        <v>0.1262527980678044</v>
      </c>
      <c r="H1285" s="20">
        <f t="shared" ca="1" si="131"/>
        <v>0.12905534415643458</v>
      </c>
      <c r="I1285" s="20">
        <f t="shared" ca="1" si="128"/>
        <v>0.13056433556716746</v>
      </c>
      <c r="J1285" s="20">
        <f t="shared" ca="1" si="133"/>
        <v>0.13172092566538934</v>
      </c>
      <c r="K1285" s="36">
        <v>14</v>
      </c>
    </row>
    <row r="1286" spans="1:11" x14ac:dyDescent="0.25">
      <c r="A1286" s="13" t="s">
        <v>7</v>
      </c>
      <c r="B1286" s="29">
        <v>45849</v>
      </c>
      <c r="C1286" s="20">
        <v>0.12786900000000001</v>
      </c>
      <c r="D1286" s="30">
        <f t="shared" ca="1" si="134"/>
        <v>163.35322875765792</v>
      </c>
      <c r="E1286" s="31">
        <f>+E1285*(1+C1285*F1286/365)</f>
        <v>163.35322875765792</v>
      </c>
      <c r="F1286" s="32">
        <f t="shared" si="132"/>
        <v>1</v>
      </c>
      <c r="G1286" s="20">
        <f t="shared" ca="1" si="135"/>
        <v>0.1269030038006948</v>
      </c>
      <c r="H1286" s="20">
        <f t="shared" ca="1" si="131"/>
        <v>0.1291966459464198</v>
      </c>
      <c r="I1286" s="20">
        <f t="shared" ca="1" si="128"/>
        <v>0.13061515944796853</v>
      </c>
      <c r="J1286" s="20">
        <f t="shared" ca="1" si="133"/>
        <v>0.1317178459848409</v>
      </c>
      <c r="K1286" s="36">
        <v>14</v>
      </c>
    </row>
    <row r="1287" spans="1:11" x14ac:dyDescent="0.25">
      <c r="A1287" s="23" t="s">
        <v>6</v>
      </c>
      <c r="B1287" s="24">
        <v>45850</v>
      </c>
      <c r="C1287" s="28">
        <v>0.12786900000000001</v>
      </c>
      <c r="D1287" s="25">
        <f t="shared" ca="1" si="134"/>
        <v>163.41045564535108</v>
      </c>
      <c r="E1287" s="26">
        <f>+E1286*(1+C1286*F1287/365)</f>
        <v>163.41045564535108</v>
      </c>
      <c r="F1287" s="27">
        <f t="shared" si="132"/>
        <v>1</v>
      </c>
      <c r="G1287" s="28">
        <f t="shared" ca="1" si="135"/>
        <v>0.12691789189077238</v>
      </c>
      <c r="H1287" s="28">
        <f t="shared" ca="1" si="131"/>
        <v>0.12913892641149691</v>
      </c>
      <c r="I1287" s="28">
        <f t="shared" ca="1" si="128"/>
        <v>0.13064854326549191</v>
      </c>
      <c r="J1287" s="28">
        <f t="shared" ca="1" si="133"/>
        <v>0.13170578985845968</v>
      </c>
      <c r="K1287" s="36">
        <v>14</v>
      </c>
    </row>
    <row r="1288" spans="1:11" x14ac:dyDescent="0.25">
      <c r="A1288" s="23" t="s">
        <v>6</v>
      </c>
      <c r="B1288" s="24">
        <v>45851</v>
      </c>
      <c r="C1288" s="28">
        <v>0.12786900000000001</v>
      </c>
      <c r="D1288" s="25">
        <f t="shared" ca="1" si="134"/>
        <v>163.4676825330443</v>
      </c>
      <c r="E1288" s="26">
        <f>+E1286*(1+C1287*F1288/365)</f>
        <v>163.4676825330443</v>
      </c>
      <c r="F1288" s="27">
        <f t="shared" si="132"/>
        <v>2</v>
      </c>
      <c r="G1288" s="28">
        <f t="shared" ca="1" si="135"/>
        <v>0.12693276956525668</v>
      </c>
      <c r="H1288" s="28">
        <f t="shared" ca="1" si="131"/>
        <v>0.12907650004157201</v>
      </c>
      <c r="I1288" s="28">
        <f t="shared" ca="1" si="128"/>
        <v>0.13068190424085765</v>
      </c>
      <c r="J1288" s="28">
        <f t="shared" ca="1" si="133"/>
        <v>0.13169076297077492</v>
      </c>
      <c r="K1288" s="36">
        <v>14</v>
      </c>
    </row>
    <row r="1289" spans="1:11" x14ac:dyDescent="0.25">
      <c r="A1289" s="13" t="s">
        <v>7</v>
      </c>
      <c r="B1289" s="29">
        <v>45852</v>
      </c>
      <c r="C1289" s="20">
        <v>0.129408</v>
      </c>
      <c r="D1289" s="30">
        <f t="shared" ca="1" si="134"/>
        <v>163.52490942073746</v>
      </c>
      <c r="E1289" s="31">
        <f>+E1286*(1+C1288*F1289/365)</f>
        <v>163.52490942073746</v>
      </c>
      <c r="F1289" s="32">
        <f t="shared" si="132"/>
        <v>3</v>
      </c>
      <c r="G1289" s="20">
        <f t="shared" ca="1" si="135"/>
        <v>0.12694763683507732</v>
      </c>
      <c r="H1289" s="20">
        <f t="shared" ca="1" si="131"/>
        <v>0.12902640744269533</v>
      </c>
      <c r="I1289" s="20">
        <f t="shared" ca="1" si="128"/>
        <v>0.13071377148038471</v>
      </c>
      <c r="J1289" s="20">
        <f t="shared" ca="1" si="133"/>
        <v>0.13167614575130798</v>
      </c>
      <c r="K1289" s="36">
        <v>14</v>
      </c>
    </row>
    <row r="1290" spans="1:11" x14ac:dyDescent="0.25">
      <c r="A1290" s="13" t="s">
        <v>7</v>
      </c>
      <c r="B1290" s="29">
        <v>45853</v>
      </c>
      <c r="C1290" s="20">
        <v>0.12687499999999999</v>
      </c>
      <c r="D1290" s="30">
        <f t="shared" ca="1" si="134"/>
        <v>163.58288594533559</v>
      </c>
      <c r="E1290" s="31">
        <f>+E1289*(1+C1289*F1290/365)</f>
        <v>163.58288594533559</v>
      </c>
      <c r="F1290" s="32">
        <f t="shared" si="132"/>
        <v>1</v>
      </c>
      <c r="G1290" s="20">
        <f t="shared" ca="1" si="135"/>
        <v>0.12766656706726356</v>
      </c>
      <c r="H1290" s="20">
        <f t="shared" ca="1" si="131"/>
        <v>0.12903269672002401</v>
      </c>
      <c r="I1290" s="20">
        <f t="shared" ca="1" si="128"/>
        <v>0.1307643105428806</v>
      </c>
      <c r="J1290" s="20">
        <f t="shared" ca="1" si="133"/>
        <v>0.13167264454153965</v>
      </c>
      <c r="K1290" s="36">
        <v>14</v>
      </c>
    </row>
    <row r="1291" spans="1:11" x14ac:dyDescent="0.25">
      <c r="A1291" s="13" t="s">
        <v>7</v>
      </c>
      <c r="B1291" s="29">
        <v>45854</v>
      </c>
      <c r="C1291" s="20">
        <v>0.12698699999999999</v>
      </c>
      <c r="D1291" s="30">
        <f t="shared" ca="1" si="134"/>
        <v>163.63974780466248</v>
      </c>
      <c r="E1291" s="31">
        <f>+E1290*(1+C1290*F1291/365)</f>
        <v>163.63974780466248</v>
      </c>
      <c r="F1291" s="32">
        <f t="shared" si="132"/>
        <v>1</v>
      </c>
      <c r="G1291" s="20">
        <f t="shared" ca="1" si="135"/>
        <v>0.12823032601392376</v>
      </c>
      <c r="H1291" s="20">
        <f t="shared" ca="1" si="131"/>
        <v>0.12895522742951582</v>
      </c>
      <c r="I1291" s="20">
        <f t="shared" ca="1" si="128"/>
        <v>0.13073351474773975</v>
      </c>
      <c r="J1291" s="20">
        <f t="shared" ca="1" si="133"/>
        <v>0.1316541626787241</v>
      </c>
      <c r="K1291" s="36">
        <v>14</v>
      </c>
    </row>
    <row r="1292" spans="1:11" x14ac:dyDescent="0.25">
      <c r="A1292" s="13" t="s">
        <v>7</v>
      </c>
      <c r="B1292" s="29">
        <v>45855</v>
      </c>
      <c r="C1292" s="20">
        <v>0.128887</v>
      </c>
      <c r="D1292" s="30">
        <f t="shared" ca="1" si="134"/>
        <v>163.69667964207198</v>
      </c>
      <c r="E1292" s="31">
        <f>+E1291*(1+C1291*F1292/365)</f>
        <v>163.69667964207198</v>
      </c>
      <c r="F1292" s="32">
        <f t="shared" si="132"/>
        <v>1</v>
      </c>
      <c r="G1292" s="20">
        <f t="shared" ca="1" si="135"/>
        <v>0.12815989205178552</v>
      </c>
      <c r="H1292" s="20">
        <f t="shared" ca="1" si="131"/>
        <v>0.12886050061075521</v>
      </c>
      <c r="I1292" s="20">
        <f t="shared" ca="1" si="128"/>
        <v>0.13069926818803851</v>
      </c>
      <c r="J1292" s="20">
        <f t="shared" ca="1" si="133"/>
        <v>0.1316363433583817</v>
      </c>
      <c r="K1292" s="36">
        <v>14</v>
      </c>
    </row>
    <row r="1293" spans="1:11" x14ac:dyDescent="0.25">
      <c r="A1293" s="13" t="s">
        <v>7</v>
      </c>
      <c r="B1293" s="29">
        <v>45856</v>
      </c>
      <c r="C1293" s="20">
        <v>0.126747</v>
      </c>
      <c r="D1293" s="30">
        <f t="shared" ca="1" si="134"/>
        <v>163.7544834063159</v>
      </c>
      <c r="E1293" s="31">
        <f>+E1292*(1+C1292*F1293/365)</f>
        <v>163.7544834063159</v>
      </c>
      <c r="F1293" s="32">
        <f t="shared" si="132"/>
        <v>1</v>
      </c>
      <c r="G1293" s="20">
        <f t="shared" ca="1" si="135"/>
        <v>0.12808172805644694</v>
      </c>
      <c r="H1293" s="20">
        <f t="shared" ca="1" si="131"/>
        <v>0.12882302102338378</v>
      </c>
      <c r="I1293" s="20">
        <f t="shared" ca="1" si="128"/>
        <v>0.13068650752301858</v>
      </c>
      <c r="J1293" s="20">
        <f t="shared" ca="1" si="133"/>
        <v>0.13163003470125961</v>
      </c>
      <c r="K1293" s="36">
        <v>14</v>
      </c>
    </row>
    <row r="1294" spans="1:11" x14ac:dyDescent="0.25">
      <c r="A1294" s="23" t="s">
        <v>6</v>
      </c>
      <c r="B1294" s="24">
        <v>45857</v>
      </c>
      <c r="C1294" s="28">
        <v>0.126747</v>
      </c>
      <c r="D1294" s="25">
        <f t="shared" ca="1" si="134"/>
        <v>163.81134748716056</v>
      </c>
      <c r="E1294" s="26">
        <f>+E1293*(1+C1293*F1294/365)</f>
        <v>163.81134748716056</v>
      </c>
      <c r="F1294" s="27">
        <f t="shared" si="132"/>
        <v>1</v>
      </c>
      <c r="G1294" s="28">
        <f t="shared" ca="1" si="135"/>
        <v>0.12792110489291392</v>
      </c>
      <c r="H1294" s="28">
        <f t="shared" ca="1" si="131"/>
        <v>0.12873139317525767</v>
      </c>
      <c r="I1294" s="28">
        <f t="shared" ca="1" si="128"/>
        <v>0.13064974229583573</v>
      </c>
      <c r="J1294" s="28">
        <f t="shared" ca="1" si="133"/>
        <v>0.13161134346634362</v>
      </c>
      <c r="K1294" s="36">
        <v>14</v>
      </c>
    </row>
    <row r="1295" spans="1:11" x14ac:dyDescent="0.25">
      <c r="A1295" s="23" t="s">
        <v>6</v>
      </c>
      <c r="B1295" s="24">
        <v>45858</v>
      </c>
      <c r="C1295" s="28">
        <v>0.126747</v>
      </c>
      <c r="D1295" s="25">
        <f t="shared" ca="1" si="134"/>
        <v>163.86821156800519</v>
      </c>
      <c r="E1295" s="26">
        <f>+E1293*(1+C1294*F1295/365)</f>
        <v>163.86821156800519</v>
      </c>
      <c r="F1295" s="27">
        <f t="shared" si="132"/>
        <v>2</v>
      </c>
      <c r="G1295" s="28">
        <f t="shared" ca="1" si="135"/>
        <v>0.12776059419151578</v>
      </c>
      <c r="H1295" s="28">
        <f t="shared" ca="1" si="131"/>
        <v>0.12862036997445103</v>
      </c>
      <c r="I1295" s="28">
        <f t="shared" ca="1" si="128"/>
        <v>0.13061300322962868</v>
      </c>
      <c r="J1295" s="28">
        <f t="shared" ca="1" si="133"/>
        <v>0.13159184492787707</v>
      </c>
      <c r="K1295" s="36">
        <v>14</v>
      </c>
    </row>
    <row r="1296" spans="1:11" x14ac:dyDescent="0.25">
      <c r="A1296" s="13" t="s">
        <v>7</v>
      </c>
      <c r="B1296" s="29">
        <v>45859</v>
      </c>
      <c r="C1296" s="20">
        <v>0.128027</v>
      </c>
      <c r="D1296" s="30">
        <f t="shared" ca="1" si="134"/>
        <v>163.92507564884988</v>
      </c>
      <c r="E1296" s="31">
        <f>+E1293*(1+C1295*F1296/365)</f>
        <v>163.92507564884988</v>
      </c>
      <c r="F1296" s="32">
        <f t="shared" si="132"/>
        <v>3</v>
      </c>
      <c r="G1296" s="20">
        <f t="shared" ca="1" si="135"/>
        <v>0.12760019583423748</v>
      </c>
      <c r="H1296" s="20">
        <f t="shared" ca="1" si="131"/>
        <v>0.12850786723197127</v>
      </c>
      <c r="I1296" s="20">
        <f t="shared" ca="1" si="128"/>
        <v>0.13057701537658689</v>
      </c>
      <c r="J1296" s="20">
        <f t="shared" ca="1" si="133"/>
        <v>0.13155666314870576</v>
      </c>
      <c r="K1296" s="36">
        <v>14</v>
      </c>
    </row>
    <row r="1297" spans="1:11" x14ac:dyDescent="0.25">
      <c r="A1297" s="13" t="s">
        <v>7</v>
      </c>
      <c r="B1297" s="29">
        <v>45860</v>
      </c>
      <c r="C1297" s="20">
        <v>0.12818199999999999</v>
      </c>
      <c r="D1297" s="30">
        <f t="shared" ca="1" si="134"/>
        <v>163.98257382874056</v>
      </c>
      <c r="E1297" s="31">
        <f>+E1296*(1+C1296*F1297/365)</f>
        <v>163.98257382874056</v>
      </c>
      <c r="F1297" s="32">
        <f t="shared" si="132"/>
        <v>1</v>
      </c>
      <c r="G1297" s="20">
        <f t="shared" ca="1" si="135"/>
        <v>0.12740249742922538</v>
      </c>
      <c r="H1297" s="20">
        <f t="shared" ca="1" si="131"/>
        <v>0.12844298814337329</v>
      </c>
      <c r="I1297" s="20">
        <f t="shared" ca="1" si="128"/>
        <v>0.13055439537942848</v>
      </c>
      <c r="J1297" s="20">
        <f t="shared" ca="1" si="133"/>
        <v>0.13153154706332049</v>
      </c>
      <c r="K1297" s="36">
        <v>14</v>
      </c>
    </row>
    <row r="1298" spans="1:11" x14ac:dyDescent="0.25">
      <c r="A1298" s="13" t="s">
        <v>7</v>
      </c>
      <c r="B1298" s="29">
        <v>45861</v>
      </c>
      <c r="C1298" s="20">
        <v>0.12795300000000001</v>
      </c>
      <c r="D1298" s="30">
        <f t="shared" ca="1" si="134"/>
        <v>164.04016181306525</v>
      </c>
      <c r="E1298" s="31">
        <f>+E1297*(1+C1297*F1298/365)</f>
        <v>164.04016181306525</v>
      </c>
      <c r="F1298" s="32">
        <f t="shared" si="132"/>
        <v>1</v>
      </c>
      <c r="G1298" s="20">
        <f t="shared" ca="1" si="135"/>
        <v>0.12758960288222368</v>
      </c>
      <c r="H1298" s="20">
        <f t="shared" ca="1" si="131"/>
        <v>0.12838488619518368</v>
      </c>
      <c r="I1298" s="20">
        <f t="shared" ca="1" si="128"/>
        <v>0.13053355253471313</v>
      </c>
      <c r="J1298" s="20">
        <f t="shared" ca="1" si="133"/>
        <v>0.13150929351607332</v>
      </c>
      <c r="K1298" s="36">
        <v>14</v>
      </c>
    </row>
    <row r="1299" spans="1:11" x14ac:dyDescent="0.25">
      <c r="A1299" s="13" t="s">
        <v>7</v>
      </c>
      <c r="B1299" s="29">
        <v>45862</v>
      </c>
      <c r="C1299" s="20">
        <v>0.129746</v>
      </c>
      <c r="D1299" s="30">
        <f t="shared" ca="1" si="134"/>
        <v>164.0976671029953</v>
      </c>
      <c r="E1299" s="31">
        <f>+E1298*(1+C1298*F1299/365)</f>
        <v>164.0976671029953</v>
      </c>
      <c r="F1299" s="32">
        <f t="shared" si="132"/>
        <v>1</v>
      </c>
      <c r="G1299" s="20">
        <f t="shared" ca="1" si="135"/>
        <v>0.12772789244546248</v>
      </c>
      <c r="H1299" s="20">
        <f t="shared" ca="1" si="131"/>
        <v>0.12831595740125001</v>
      </c>
      <c r="I1299" s="20">
        <f t="shared" ca="1" si="128"/>
        <v>0.13051754784922068</v>
      </c>
      <c r="J1299" s="20">
        <f t="shared" ca="1" si="133"/>
        <v>0.13146761989948935</v>
      </c>
      <c r="K1299" s="36">
        <v>14</v>
      </c>
    </row>
    <row r="1300" spans="1:11" x14ac:dyDescent="0.25">
      <c r="A1300" s="13" t="s">
        <v>7</v>
      </c>
      <c r="B1300" s="29">
        <v>45863</v>
      </c>
      <c r="C1300" s="20">
        <v>0.13</v>
      </c>
      <c r="D1300" s="30">
        <f t="shared" ca="1" si="134"/>
        <v>164.15599865344993</v>
      </c>
      <c r="E1300" s="31">
        <f>+E1299*(1+C1299*F1300/365)</f>
        <v>164.15599865344993</v>
      </c>
      <c r="F1300" s="32">
        <f t="shared" si="132"/>
        <v>1</v>
      </c>
      <c r="G1300" s="20">
        <f t="shared" ca="1" si="135"/>
        <v>0.1278508639060689</v>
      </c>
      <c r="H1300" s="20">
        <f t="shared" ca="1" si="131"/>
        <v>0.12831925734773111</v>
      </c>
      <c r="I1300" s="20">
        <f t="shared" ca="1" si="128"/>
        <v>0.13051463583824227</v>
      </c>
      <c r="J1300" s="20">
        <f t="shared" ca="1" si="133"/>
        <v>0.13143684524808405</v>
      </c>
      <c r="K1300" s="36">
        <v>14</v>
      </c>
    </row>
    <row r="1301" spans="1:11" x14ac:dyDescent="0.25">
      <c r="A1301" s="23" t="s">
        <v>6</v>
      </c>
      <c r="B1301" s="24">
        <v>45864</v>
      </c>
      <c r="C1301" s="28">
        <v>0.13</v>
      </c>
      <c r="D1301" s="25">
        <f t="shared" ca="1" si="134"/>
        <v>164.21446517351828</v>
      </c>
      <c r="E1301" s="26">
        <f>+E1300*(1+C1300*F1301/365)</f>
        <v>164.21446517351828</v>
      </c>
      <c r="F1301" s="27">
        <f t="shared" si="132"/>
        <v>1</v>
      </c>
      <c r="G1301" s="28">
        <f t="shared" ca="1" si="135"/>
        <v>0.12831655592819116</v>
      </c>
      <c r="H1301" s="28">
        <f t="shared" ca="1" si="131"/>
        <v>0.12845327694999617</v>
      </c>
      <c r="I1301" s="28">
        <f t="shared" ca="1" si="128"/>
        <v>0.13051516647610098</v>
      </c>
      <c r="J1301" s="28">
        <f t="shared" ca="1" si="133"/>
        <v>0.13140786799388124</v>
      </c>
      <c r="K1301" s="36">
        <v>14</v>
      </c>
    </row>
    <row r="1302" spans="1:11" x14ac:dyDescent="0.25">
      <c r="A1302" s="23" t="s">
        <v>6</v>
      </c>
      <c r="B1302" s="24">
        <v>45865</v>
      </c>
      <c r="C1302" s="28">
        <v>0.13</v>
      </c>
      <c r="D1302" s="25">
        <f t="shared" ca="1" si="134"/>
        <v>164.27293169358663</v>
      </c>
      <c r="E1302" s="26">
        <f>+E1300*(1+C1301*F1302/365)</f>
        <v>164.27293169358663</v>
      </c>
      <c r="F1302" s="27">
        <f t="shared" si="132"/>
        <v>2</v>
      </c>
      <c r="G1302" s="28">
        <f t="shared" ca="1" si="135"/>
        <v>0.12878192474977521</v>
      </c>
      <c r="H1302" s="28">
        <f t="shared" ca="1" si="131"/>
        <v>0.1284517183867161</v>
      </c>
      <c r="I1302" s="28">
        <f t="shared" ca="1" si="128"/>
        <v>0.13051569673637403</v>
      </c>
      <c r="J1302" s="28">
        <f t="shared" ca="1" si="133"/>
        <v>0.13139017334692496</v>
      </c>
      <c r="K1302" s="36">
        <v>14</v>
      </c>
    </row>
    <row r="1303" spans="1:11" x14ac:dyDescent="0.25">
      <c r="A1303" s="13" t="s">
        <v>7</v>
      </c>
      <c r="B1303" s="29">
        <v>45866</v>
      </c>
      <c r="C1303" s="20">
        <v>0.129526</v>
      </c>
      <c r="D1303" s="30">
        <f t="shared" ca="1" si="134"/>
        <v>164.33139821365501</v>
      </c>
      <c r="E1303" s="31">
        <f>+E1300*(1+C1302*F1303/365)</f>
        <v>164.33139821365501</v>
      </c>
      <c r="F1303" s="32">
        <f t="shared" si="132"/>
        <v>3</v>
      </c>
      <c r="G1303" s="20">
        <f t="shared" ca="1" si="135"/>
        <v>0.12924697070713992</v>
      </c>
      <c r="H1303" s="20">
        <f t="shared" ca="1" si="131"/>
        <v>0.12844860236997133</v>
      </c>
      <c r="I1303" s="20">
        <f t="shared" ca="1" si="128"/>
        <v>0.13051463583824227</v>
      </c>
      <c r="J1303" s="20">
        <f t="shared" ca="1" si="133"/>
        <v>0.13136978679248776</v>
      </c>
      <c r="K1303" s="36">
        <v>14</v>
      </c>
    </row>
    <row r="1304" spans="1:11" x14ac:dyDescent="0.25">
      <c r="A1304" s="13" t="s">
        <v>7</v>
      </c>
      <c r="B1304" s="29">
        <v>45867</v>
      </c>
      <c r="C1304" s="20">
        <v>0.12933330000000001</v>
      </c>
      <c r="D1304" s="30">
        <f t="shared" ca="1" si="134"/>
        <v>164.38971379909344</v>
      </c>
      <c r="E1304" s="31">
        <f>+E1303*(1+C1303*F1304/365)</f>
        <v>164.38971379909344</v>
      </c>
      <c r="F1304" s="32">
        <f t="shared" si="132"/>
        <v>1</v>
      </c>
      <c r="G1304" s="20">
        <f t="shared" ca="1" si="135"/>
        <v>0.12946156908982456</v>
      </c>
      <c r="H1304" s="20">
        <f t="shared" ca="1" si="131"/>
        <v>0.12843419980839055</v>
      </c>
      <c r="I1304" s="20">
        <f t="shared" ca="1" si="128"/>
        <v>0.13050920161681348</v>
      </c>
      <c r="J1304" s="20">
        <f t="shared" ca="1" si="133"/>
        <v>0.13136384978099053</v>
      </c>
      <c r="K1304" s="36">
        <v>14</v>
      </c>
    </row>
    <row r="1305" spans="1:11" x14ac:dyDescent="0.25">
      <c r="A1305" s="13" t="s">
        <v>7</v>
      </c>
      <c r="B1305" s="29">
        <v>45868</v>
      </c>
      <c r="C1305" s="20">
        <v>0.129745</v>
      </c>
      <c r="D1305" s="30">
        <f t="shared" ca="1" si="134"/>
        <v>164.44796328997478</v>
      </c>
      <c r="E1305" s="31">
        <f>+E1304*(1+C1304*F1305/365)</f>
        <v>164.44796328997478</v>
      </c>
      <c r="F1305" s="32">
        <f t="shared" si="132"/>
        <v>1</v>
      </c>
      <c r="G1305" s="20">
        <f t="shared" ca="1" si="135"/>
        <v>0.12962639098937118</v>
      </c>
      <c r="H1305" s="20">
        <f t="shared" ca="1" si="131"/>
        <v>0.12841486588358775</v>
      </c>
      <c r="I1305" s="20">
        <f t="shared" ca="1" si="128"/>
        <v>0.13046667179178759</v>
      </c>
      <c r="J1305" s="20">
        <f t="shared" ca="1" si="133"/>
        <v>0.13133034105720129</v>
      </c>
      <c r="K1305" s="36">
        <v>14</v>
      </c>
    </row>
    <row r="1306" spans="1:11" x14ac:dyDescent="0.25">
      <c r="A1306" s="13" t="s">
        <v>7</v>
      </c>
      <c r="B1306" s="29">
        <v>45869</v>
      </c>
      <c r="C1306" s="20">
        <v>0.13</v>
      </c>
      <c r="D1306" s="30">
        <f t="shared" ca="1" si="134"/>
        <v>164.5064189091448</v>
      </c>
      <c r="E1306" s="31">
        <f>+E1305*(1+C1305*F1306/365)</f>
        <v>164.5064189091448</v>
      </c>
      <c r="F1306" s="32">
        <f t="shared" si="132"/>
        <v>1</v>
      </c>
      <c r="G1306" s="20">
        <f t="shared" ca="1" si="135"/>
        <v>0.12988293746772367</v>
      </c>
      <c r="H1306" s="20">
        <f t="shared" ca="1" si="131"/>
        <v>0.12840627922735254</v>
      </c>
      <c r="I1306" s="20">
        <f t="shared" ca="1" si="128"/>
        <v>0.1304836163600698</v>
      </c>
      <c r="J1306" s="20">
        <f t="shared" ca="1" si="133"/>
        <v>0.13129926730868499</v>
      </c>
      <c r="K1306" s="36">
        <v>14</v>
      </c>
    </row>
    <row r="1307" spans="1:11" x14ac:dyDescent="0.25">
      <c r="A1307" s="13" t="s">
        <v>7</v>
      </c>
      <c r="B1307" s="29">
        <v>45870</v>
      </c>
      <c r="C1307" s="20">
        <v>0.12953300000000001</v>
      </c>
      <c r="D1307" s="30">
        <f t="shared" ca="1" si="134"/>
        <v>164.56501023642753</v>
      </c>
      <c r="E1307" s="31">
        <f>+E1306*(1+C1306*F1307/365)</f>
        <v>164.56501023642753</v>
      </c>
      <c r="F1307" s="32">
        <f t="shared" si="132"/>
        <v>1</v>
      </c>
      <c r="G1307" s="20">
        <f t="shared" ca="1" si="135"/>
        <v>0.12991930064035412</v>
      </c>
      <c r="H1307" s="20">
        <f t="shared" ca="1" si="131"/>
        <v>0.12858966587316858</v>
      </c>
      <c r="I1307" s="20">
        <f t="shared" ca="1" si="128"/>
        <v>0.13057057652963205</v>
      </c>
      <c r="J1307" s="20">
        <f t="shared" ca="1" si="133"/>
        <v>0.13126999698243591</v>
      </c>
      <c r="K1307" s="36">
        <v>14</v>
      </c>
    </row>
    <row r="1308" spans="1:11" x14ac:dyDescent="0.25">
      <c r="A1308" s="23" t="s">
        <v>6</v>
      </c>
      <c r="B1308" s="24">
        <v>45871</v>
      </c>
      <c r="C1308" s="28">
        <v>0.12953300000000001</v>
      </c>
      <c r="D1308" s="25">
        <f t="shared" ca="1" si="134"/>
        <v>164.62341187881373</v>
      </c>
      <c r="E1308" s="26">
        <f>+E1307*(1+C1307*F1308/365)</f>
        <v>164.62341187881373</v>
      </c>
      <c r="F1308" s="27">
        <f t="shared" si="132"/>
        <v>1</v>
      </c>
      <c r="G1308" s="28">
        <f t="shared" ca="1" si="135"/>
        <v>0.12985244394110179</v>
      </c>
      <c r="H1308" s="28">
        <f t="shared" ca="1" si="131"/>
        <v>0.12865071656450389</v>
      </c>
      <c r="I1308" s="28">
        <f t="shared" ca="1" si="128"/>
        <v>0.13065265491164629</v>
      </c>
      <c r="J1308" s="28">
        <f t="shared" ca="1" si="133"/>
        <v>0.13123826058984817</v>
      </c>
      <c r="K1308" s="36">
        <v>14</v>
      </c>
    </row>
    <row r="1309" spans="1:11" x14ac:dyDescent="0.25">
      <c r="A1309" s="23" t="s">
        <v>6</v>
      </c>
      <c r="B1309" s="24">
        <v>45872</v>
      </c>
      <c r="C1309" s="28">
        <v>0.12953300000000001</v>
      </c>
      <c r="D1309" s="25">
        <f t="shared" ca="1" si="134"/>
        <v>164.68181352119987</v>
      </c>
      <c r="E1309" s="26">
        <f>+E1307*(1+C1308*F1309/365)</f>
        <v>164.68181352119987</v>
      </c>
      <c r="F1309" s="27">
        <f t="shared" ref="F1309:F1334" si="136">IF(A1308="Working day",1,(IF(A1307="Working day",2,(IF(A1306="Working day",3,IF(A1305="Working day",4,IF(A1304="Working day",5,IF(A1303="Working day",6,7))))))))</f>
        <v>2</v>
      </c>
      <c r="G1309" s="28">
        <f t="shared" ca="1" si="135"/>
        <v>0.12978563483188979</v>
      </c>
      <c r="H1309" s="28">
        <f t="shared" ca="1" si="131"/>
        <v>0.12880548513258389</v>
      </c>
      <c r="I1309" s="28">
        <f t="shared" ca="1" si="128"/>
        <v>0.13073467829351931</v>
      </c>
      <c r="J1309" s="28">
        <f t="shared" ca="1" si="133"/>
        <v>0.13123522749544891</v>
      </c>
      <c r="K1309" s="36">
        <v>14</v>
      </c>
    </row>
    <row r="1310" spans="1:11" x14ac:dyDescent="0.25">
      <c r="A1310" s="13" t="s">
        <v>7</v>
      </c>
      <c r="B1310" s="29">
        <v>45873</v>
      </c>
      <c r="C1310" s="20">
        <v>0.12864200000000001</v>
      </c>
      <c r="D1310" s="30">
        <f t="shared" ca="1" si="134"/>
        <v>164.74021516358607</v>
      </c>
      <c r="E1310" s="31">
        <f>+E1307*(1+C1309*F1310/365)</f>
        <v>164.74021516358607</v>
      </c>
      <c r="F1310" s="32">
        <f t="shared" si="136"/>
        <v>3</v>
      </c>
      <c r="G1310" s="20">
        <f t="shared" ca="1" si="135"/>
        <v>0.12971887326193682</v>
      </c>
      <c r="H1310" s="20">
        <f t="shared" ca="1" si="131"/>
        <v>0.12886192775288755</v>
      </c>
      <c r="I1310" s="20">
        <f t="shared" ref="I1310:I1342" ca="1" si="137">($D1310/OFFSET($D1310,-90,0)-1)*365/90</f>
        <v>0.13079449466464582</v>
      </c>
      <c r="J1310" s="20">
        <f t="shared" ca="1" si="133"/>
        <v>0.1312614882282514</v>
      </c>
      <c r="K1310" s="36">
        <v>14</v>
      </c>
    </row>
    <row r="1311" spans="1:11" x14ac:dyDescent="0.25">
      <c r="A1311" s="13" t="s">
        <v>7</v>
      </c>
      <c r="B1311" s="29">
        <v>45874</v>
      </c>
      <c r="C1311" s="20">
        <v>0.126637</v>
      </c>
      <c r="D1311" s="30">
        <f t="shared" ca="1" si="134"/>
        <v>164.79827683689859</v>
      </c>
      <c r="E1311" s="31">
        <f>+E1310*(1+C1310*F1311/365)</f>
        <v>164.79827683689859</v>
      </c>
      <c r="F1311" s="32">
        <f t="shared" si="136"/>
        <v>1</v>
      </c>
      <c r="G1311" s="20">
        <f t="shared" ca="1" si="135"/>
        <v>0.12959231828922049</v>
      </c>
      <c r="H1311" s="20">
        <f t="shared" ref="H1311:H1321" ca="1" si="138">($D1311/OFFSET($D1311,-30,0)-1)*365/30</f>
        <v>0.12889296587588298</v>
      </c>
      <c r="I1311" s="20">
        <f t="shared" ca="1" si="137"/>
        <v>0.13085880514442719</v>
      </c>
      <c r="J1311" s="20">
        <f t="shared" ca="1" si="133"/>
        <v>0.13131628624295025</v>
      </c>
      <c r="K1311" s="36">
        <v>14</v>
      </c>
    </row>
    <row r="1312" spans="1:11" x14ac:dyDescent="0.25">
      <c r="A1312" s="13" t="s">
        <v>7</v>
      </c>
      <c r="B1312" s="29">
        <v>45875</v>
      </c>
      <c r="C1312" s="20">
        <v>0.12607399999999999</v>
      </c>
      <c r="D1312" s="30">
        <f t="shared" ca="1" si="134"/>
        <v>164.85545371192268</v>
      </c>
      <c r="E1312" s="31">
        <f>+E1311*(1+C1311*F1312/365)</f>
        <v>164.85545371192268</v>
      </c>
      <c r="F1312" s="32">
        <f t="shared" si="136"/>
        <v>1</v>
      </c>
      <c r="G1312" s="20">
        <f t="shared" ca="1" si="135"/>
        <v>0.12920631203710961</v>
      </c>
      <c r="H1312" s="20">
        <f t="shared" ca="1" si="138"/>
        <v>0.12885799078941484</v>
      </c>
      <c r="I1312" s="20">
        <f t="shared" ca="1" si="137"/>
        <v>0.13087757449823278</v>
      </c>
      <c r="J1312" s="20">
        <f t="shared" ca="1" si="133"/>
        <v>0.13129640008367199</v>
      </c>
      <c r="K1312" s="36">
        <v>14</v>
      </c>
    </row>
    <row r="1313" spans="1:11" x14ac:dyDescent="0.25">
      <c r="A1313" s="13" t="s">
        <v>7</v>
      </c>
      <c r="B1313" s="29">
        <v>45876</v>
      </c>
      <c r="C1313" s="20">
        <v>0.12720899999999999</v>
      </c>
      <c r="D1313" s="30">
        <f t="shared" ca="1" si="134"/>
        <v>164.91239614061109</v>
      </c>
      <c r="E1313" s="31">
        <f>+E1312*(1+C1312*F1313/365)</f>
        <v>164.91239614061109</v>
      </c>
      <c r="F1313" s="32">
        <f t="shared" si="136"/>
        <v>1</v>
      </c>
      <c r="G1313" s="20">
        <f t="shared" ca="1" si="135"/>
        <v>0.12868077078069157</v>
      </c>
      <c r="H1313" s="20">
        <f t="shared" ca="1" si="138"/>
        <v>0.12891483400892501</v>
      </c>
      <c r="I1313" s="20">
        <f t="shared" ca="1" si="137"/>
        <v>0.13088183975021536</v>
      </c>
      <c r="J1313" s="20">
        <f t="shared" ca="1" si="133"/>
        <v>0.13127318499528579</v>
      </c>
      <c r="K1313" s="36">
        <v>14</v>
      </c>
    </row>
    <row r="1314" spans="1:11" x14ac:dyDescent="0.25">
      <c r="A1314" s="13" t="s">
        <v>7</v>
      </c>
      <c r="B1314" s="29">
        <v>45877</v>
      </c>
      <c r="C1314" s="20">
        <v>0.12759200000000001</v>
      </c>
      <c r="D1314" s="30">
        <f t="shared" ca="1" si="134"/>
        <v>164.96987104746219</v>
      </c>
      <c r="E1314" s="31">
        <f>+E1313*(1+C1313*F1314/365)</f>
        <v>164.96987104746219</v>
      </c>
      <c r="F1314" s="32">
        <f t="shared" si="136"/>
        <v>1</v>
      </c>
      <c r="G1314" s="20">
        <f t="shared" ca="1" si="135"/>
        <v>0.12828121483536006</v>
      </c>
      <c r="H1314" s="20">
        <f t="shared" ca="1" si="138"/>
        <v>0.12905869438812112</v>
      </c>
      <c r="I1314" s="20">
        <f t="shared" ca="1" si="137"/>
        <v>0.13089961481236034</v>
      </c>
      <c r="J1314" s="20">
        <f t="shared" ca="1" si="133"/>
        <v>0.13125695521256986</v>
      </c>
      <c r="K1314" s="36">
        <v>14</v>
      </c>
    </row>
    <row r="1315" spans="1:11" x14ac:dyDescent="0.25">
      <c r="A1315" s="23" t="s">
        <v>6</v>
      </c>
      <c r="B1315" s="24">
        <v>45878</v>
      </c>
      <c r="C1315" s="28">
        <v>0.12759200000000001</v>
      </c>
      <c r="D1315" s="25">
        <f t="shared" ca="1" si="134"/>
        <v>165.02753909071339</v>
      </c>
      <c r="E1315" s="26">
        <f>+E1314*(1+C1314*F1315/365)</f>
        <v>165.02753909071339</v>
      </c>
      <c r="F1315" s="27">
        <f t="shared" si="136"/>
        <v>1</v>
      </c>
      <c r="G1315" s="28">
        <f t="shared" ca="1" si="135"/>
        <v>0.12800334555778811</v>
      </c>
      <c r="H1315" s="28">
        <f t="shared" ca="1" si="138"/>
        <v>0.12906249968092079</v>
      </c>
      <c r="I1315" s="28">
        <f t="shared" ca="1" si="137"/>
        <v>0.13092227719757371</v>
      </c>
      <c r="J1315" s="28">
        <f t="shared" ca="1" si="133"/>
        <v>0.13124326374189091</v>
      </c>
      <c r="K1315" s="36">
        <v>14</v>
      </c>
    </row>
    <row r="1316" spans="1:11" x14ac:dyDescent="0.25">
      <c r="A1316" s="23" t="s">
        <v>6</v>
      </c>
      <c r="B1316" s="24">
        <v>45879</v>
      </c>
      <c r="C1316" s="28">
        <v>0.12759200000000001</v>
      </c>
      <c r="D1316" s="25">
        <f t="shared" ca="1" si="134"/>
        <v>165.08520713396462</v>
      </c>
      <c r="E1316" s="26">
        <f>+E1314*(1+C1315*F1316/365)</f>
        <v>165.08520713396462</v>
      </c>
      <c r="F1316" s="27">
        <f t="shared" si="136"/>
        <v>2</v>
      </c>
      <c r="G1316" s="28">
        <f t="shared" ca="1" si="135"/>
        <v>0.12772567336359483</v>
      </c>
      <c r="H1316" s="28">
        <f t="shared" ca="1" si="138"/>
        <v>0.1289990025826806</v>
      </c>
      <c r="I1316" s="28">
        <f t="shared" ca="1" si="137"/>
        <v>0.13094492399490643</v>
      </c>
      <c r="J1316" s="28">
        <f t="shared" ca="1" si="133"/>
        <v>0.13122876154923196</v>
      </c>
      <c r="K1316" s="36">
        <v>14</v>
      </c>
    </row>
    <row r="1317" spans="1:11" x14ac:dyDescent="0.25">
      <c r="A1317" s="13" t="s">
        <v>7</v>
      </c>
      <c r="B1317" s="29">
        <v>45880</v>
      </c>
      <c r="C1317" s="20">
        <v>0.127577</v>
      </c>
      <c r="D1317" s="30">
        <f t="shared" ref="D1317:D1334" ca="1" si="139">+IF(F1317=1,D1316*(1+C1316*F1317/365),OFFSET(D1316,-F1317+1,0)*(1+C1316*F1317/365))</f>
        <v>165.14287517721579</v>
      </c>
      <c r="E1317" s="31">
        <f>+E1314*(1+C1316*F1317/365)</f>
        <v>165.14287517721579</v>
      </c>
      <c r="F1317" s="32">
        <f t="shared" si="136"/>
        <v>3</v>
      </c>
      <c r="G1317" s="20">
        <f t="shared" ref="G1317:G1334" ca="1" si="140">(D1317/OFFSET(D1317,-7,0)-1)*365/7</f>
        <v>0.12744819804312507</v>
      </c>
      <c r="H1317" s="20">
        <f t="shared" ca="1" si="138"/>
        <v>0.1289866727791612</v>
      </c>
      <c r="I1317" s="20">
        <f t="shared" ca="1" si="137"/>
        <v>0.13093471778150642</v>
      </c>
      <c r="J1317" s="20">
        <f t="shared" ca="1" si="133"/>
        <v>0.13121399599976646</v>
      </c>
      <c r="K1317" s="36">
        <v>14</v>
      </c>
    </row>
    <row r="1318" spans="1:11" x14ac:dyDescent="0.25">
      <c r="A1318" s="13" t="s">
        <v>7</v>
      </c>
      <c r="B1318" s="29">
        <v>45881</v>
      </c>
      <c r="C1318" s="20">
        <v>0.127773</v>
      </c>
      <c r="D1318" s="30">
        <f t="shared" ca="1" si="139"/>
        <v>165.20059691032947</v>
      </c>
      <c r="E1318" s="31">
        <f>+E1317*(1+C1317*F1318/365)</f>
        <v>165.20059691032947</v>
      </c>
      <c r="F1318" s="32">
        <f t="shared" si="136"/>
        <v>1</v>
      </c>
      <c r="G1318" s="20">
        <f t="shared" ca="1" si="140"/>
        <v>0.12729573705053121</v>
      </c>
      <c r="H1318" s="20">
        <f t="shared" ca="1" si="138"/>
        <v>0.12897834766845129</v>
      </c>
      <c r="I1318" s="20">
        <f t="shared" ca="1" si="137"/>
        <v>0.13091881473742714</v>
      </c>
      <c r="J1318" s="20">
        <f t="shared" ca="1" si="133"/>
        <v>0.13128836610107369</v>
      </c>
      <c r="K1318" s="36">
        <v>14</v>
      </c>
    </row>
    <row r="1319" spans="1:11" x14ac:dyDescent="0.25">
      <c r="A1319" s="13" t="s">
        <v>7</v>
      </c>
      <c r="B1319" s="29">
        <v>45882</v>
      </c>
      <c r="C1319" s="20">
        <v>0.12756700000000001</v>
      </c>
      <c r="D1319" s="30">
        <f t="shared" ca="1" si="139"/>
        <v>165.25842752914869</v>
      </c>
      <c r="E1319" s="31">
        <f>+E1318*(1+C1318*F1319/365)</f>
        <v>165.25842752914869</v>
      </c>
      <c r="F1319" s="32">
        <f t="shared" si="136"/>
        <v>1</v>
      </c>
      <c r="G1319" s="20">
        <f t="shared" ca="1" si="140"/>
        <v>0.1274583625279746</v>
      </c>
      <c r="H1319" s="20">
        <f t="shared" ca="1" si="138"/>
        <v>0.12897812975639034</v>
      </c>
      <c r="I1319" s="20">
        <f t="shared" ca="1" si="137"/>
        <v>0.13089866946057566</v>
      </c>
      <c r="J1319" s="20">
        <f t="shared" ca="1" si="133"/>
        <v>0.1312751975301468</v>
      </c>
      <c r="K1319" s="36">
        <v>14</v>
      </c>
    </row>
    <row r="1320" spans="1:11" x14ac:dyDescent="0.25">
      <c r="A1320" s="13" t="s">
        <v>7</v>
      </c>
      <c r="B1320" s="29">
        <v>45883</v>
      </c>
      <c r="C1320" s="20">
        <v>0.12820200000000001</v>
      </c>
      <c r="D1320" s="30">
        <f t="shared" ca="1" si="139"/>
        <v>165.31618512318872</v>
      </c>
      <c r="E1320" s="31">
        <f>+E1319*(1+C1319*F1320/365)</f>
        <v>165.31618512318872</v>
      </c>
      <c r="F1320" s="32">
        <f t="shared" si="136"/>
        <v>1</v>
      </c>
      <c r="G1320" s="20">
        <f t="shared" ca="1" si="140"/>
        <v>0.12767209577412286</v>
      </c>
      <c r="H1320" s="20">
        <f t="shared" ca="1" si="138"/>
        <v>0.12891613452518297</v>
      </c>
      <c r="I1320" s="20">
        <f t="shared" ca="1" si="137"/>
        <v>0.13087110602630211</v>
      </c>
      <c r="J1320" s="20">
        <f t="shared" ca="1" si="133"/>
        <v>0.1312608109393737</v>
      </c>
      <c r="K1320" s="36">
        <v>14</v>
      </c>
    </row>
    <row r="1321" spans="1:11" x14ac:dyDescent="0.25">
      <c r="A1321" s="13" t="s">
        <v>7</v>
      </c>
      <c r="B1321" s="29">
        <v>45884</v>
      </c>
      <c r="C1321" s="20">
        <v>0.128</v>
      </c>
      <c r="D1321" s="30">
        <f t="shared" ca="1" si="139"/>
        <v>165.37425050829876</v>
      </c>
      <c r="E1321" s="31">
        <f>+E1320*(1+C1320*F1321/365)</f>
        <v>165.37425050829876</v>
      </c>
      <c r="F1321" s="32">
        <f t="shared" si="136"/>
        <v>1</v>
      </c>
      <c r="G1321" s="20">
        <f t="shared" ca="1" si="140"/>
        <v>0.12781425071152067</v>
      </c>
      <c r="H1321" s="20">
        <f t="shared" ca="1" si="138"/>
        <v>0.12896082101498771</v>
      </c>
      <c r="I1321" s="20">
        <f t="shared" ca="1" si="137"/>
        <v>0.13085049091623815</v>
      </c>
      <c r="J1321" s="20">
        <f t="shared" ca="1" si="133"/>
        <v>0.13125045292713308</v>
      </c>
      <c r="K1321" s="36">
        <v>14</v>
      </c>
    </row>
    <row r="1322" spans="1:11" x14ac:dyDescent="0.25">
      <c r="A1322" s="23" t="s">
        <v>6</v>
      </c>
      <c r="B1322" s="24">
        <v>45885</v>
      </c>
      <c r="C1322" s="28">
        <v>0.128</v>
      </c>
      <c r="D1322" s="25">
        <f t="shared" ca="1" si="139"/>
        <v>165.43224476601128</v>
      </c>
      <c r="E1322" s="26">
        <f>+E1321*(1+C1321*F1322/365)</f>
        <v>165.43224476601128</v>
      </c>
      <c r="F1322" s="27">
        <f t="shared" si="136"/>
        <v>1</v>
      </c>
      <c r="G1322" s="28">
        <f t="shared" ca="1" si="140"/>
        <v>0.12787265888005192</v>
      </c>
      <c r="H1322" s="28">
        <f t="shared" ref="H1322:H1342" ca="1" si="141">($D1322/OFFSET($D1322,-30,0)-1)*365/30</f>
        <v>0.12899493372396101</v>
      </c>
      <c r="I1322" s="28">
        <f t="shared" ca="1" si="137"/>
        <v>0.13082809054977212</v>
      </c>
      <c r="J1322" s="28">
        <f t="shared" ca="1" si="133"/>
        <v>0.13123917401854793</v>
      </c>
      <c r="K1322" s="36">
        <v>14</v>
      </c>
    </row>
    <row r="1323" spans="1:11" x14ac:dyDescent="0.25">
      <c r="A1323" s="23" t="s">
        <v>6</v>
      </c>
      <c r="B1323" s="24">
        <v>45886</v>
      </c>
      <c r="C1323" s="28">
        <v>0.128</v>
      </c>
      <c r="D1323" s="25">
        <f t="shared" ca="1" si="139"/>
        <v>165.49023902372375</v>
      </c>
      <c r="E1323" s="26">
        <f>+E1321*(1+C1322*F1323/365)</f>
        <v>165.49023902372375</v>
      </c>
      <c r="F1323" s="27">
        <f t="shared" si="136"/>
        <v>2</v>
      </c>
      <c r="G1323" s="28">
        <f t="shared" ca="1" si="140"/>
        <v>0.12793102624194291</v>
      </c>
      <c r="H1323" s="28">
        <f t="shared" ca="1" si="141"/>
        <v>0.12896355307351026</v>
      </c>
      <c r="I1323" s="28">
        <f t="shared" ca="1" si="137"/>
        <v>0.13080570612269882</v>
      </c>
      <c r="J1323" s="28">
        <f t="shared" ca="1" si="133"/>
        <v>0.13122708267252653</v>
      </c>
      <c r="K1323" s="36">
        <v>14</v>
      </c>
    </row>
    <row r="1324" spans="1:11" x14ac:dyDescent="0.25">
      <c r="A1324" s="13" t="s">
        <v>7</v>
      </c>
      <c r="B1324" s="29">
        <v>45887</v>
      </c>
      <c r="C1324" s="20">
        <v>0.128023</v>
      </c>
      <c r="D1324" s="30">
        <f t="shared" ca="1" si="139"/>
        <v>165.54823328143624</v>
      </c>
      <c r="E1324" s="31">
        <f>+E1321*(1+C1323*F1324/365)</f>
        <v>165.54823328143624</v>
      </c>
      <c r="F1324" s="32">
        <f t="shared" si="136"/>
        <v>3</v>
      </c>
      <c r="G1324" s="20">
        <f t="shared" ca="1" si="140"/>
        <v>0.12798935283998605</v>
      </c>
      <c r="H1324" s="20">
        <f t="shared" ca="1" si="141"/>
        <v>0.12900272674136423</v>
      </c>
      <c r="I1324" s="20">
        <f t="shared" ca="1" si="137"/>
        <v>0.13078174673528345</v>
      </c>
      <c r="J1324" s="20">
        <f t="shared" ca="1" si="133"/>
        <v>0.13121472625351521</v>
      </c>
      <c r="K1324" s="36">
        <v>14</v>
      </c>
    </row>
    <row r="1325" spans="1:11" x14ac:dyDescent="0.25">
      <c r="A1325" s="13" t="s">
        <v>7</v>
      </c>
      <c r="B1325" s="29">
        <v>45888</v>
      </c>
      <c r="C1325" s="20">
        <v>0.12828500000000001</v>
      </c>
      <c r="D1325" s="30">
        <f t="shared" ca="1" si="139"/>
        <v>165.60629898409209</v>
      </c>
      <c r="E1325" s="31">
        <f>+E1324*(1+C1324*F1325/365)</f>
        <v>165.60629898409209</v>
      </c>
      <c r="F1325" s="32">
        <f t="shared" si="136"/>
        <v>1</v>
      </c>
      <c r="G1325" s="20">
        <f t="shared" ca="1" si="140"/>
        <v>0.12805320120149152</v>
      </c>
      <c r="H1325" s="20">
        <f t="shared" ca="1" si="141"/>
        <v>0.12904717776993258</v>
      </c>
      <c r="I1325" s="20">
        <f t="shared" ca="1" si="137"/>
        <v>0.1307590797705131</v>
      </c>
      <c r="J1325" s="20">
        <f t="shared" ca="1" si="133"/>
        <v>0.13120303636722677</v>
      </c>
      <c r="K1325" s="36">
        <v>14</v>
      </c>
    </row>
    <row r="1326" spans="1:11" x14ac:dyDescent="0.25">
      <c r="A1326" s="13" t="s">
        <v>7</v>
      </c>
      <c r="B1326" s="29">
        <v>45889</v>
      </c>
      <c r="C1326" s="20">
        <v>0.12900200000000001</v>
      </c>
      <c r="D1326" s="30">
        <f t="shared" ca="1" si="139"/>
        <v>165.66450392673642</v>
      </c>
      <c r="E1326" s="31">
        <f>+E1325*(1+C1325*F1326/365)</f>
        <v>165.66450392673642</v>
      </c>
      <c r="F1326" s="32">
        <f t="shared" si="136"/>
        <v>1</v>
      </c>
      <c r="G1326" s="20">
        <f t="shared" ca="1" si="140"/>
        <v>0.12812649802545611</v>
      </c>
      <c r="H1326" s="20">
        <f t="shared" ca="1" si="141"/>
        <v>0.12910193247647875</v>
      </c>
      <c r="I1326" s="20">
        <f t="shared" ca="1" si="137"/>
        <v>0.1307584721083502</v>
      </c>
      <c r="J1326" s="20">
        <f t="shared" ca="1" si="133"/>
        <v>0.13119289572664314</v>
      </c>
      <c r="K1326" s="36">
        <v>14</v>
      </c>
    </row>
    <row r="1327" spans="1:11" x14ac:dyDescent="0.25">
      <c r="A1327" s="13" t="s">
        <v>7</v>
      </c>
      <c r="B1327" s="29">
        <v>45890</v>
      </c>
      <c r="C1327" s="20">
        <v>0.132048</v>
      </c>
      <c r="D1327" s="30">
        <f t="shared" ca="1" si="139"/>
        <v>165.723054755053</v>
      </c>
      <c r="E1327" s="31">
        <f>+E1326*(1+C1326*F1327/365)</f>
        <v>165.723054755053</v>
      </c>
      <c r="F1327" s="32">
        <f t="shared" si="136"/>
        <v>1</v>
      </c>
      <c r="G1327" s="20">
        <f t="shared" ca="1" si="140"/>
        <v>0.12833192995748113</v>
      </c>
      <c r="H1327" s="20">
        <f t="shared" ca="1" si="141"/>
        <v>0.12913476582121708</v>
      </c>
      <c r="I1327" s="20">
        <f t="shared" ca="1" si="137"/>
        <v>0.13074702976891053</v>
      </c>
      <c r="J1327" s="20">
        <f t="shared" ca="1" si="133"/>
        <v>0.13118699467021896</v>
      </c>
      <c r="K1327" s="36">
        <v>14</v>
      </c>
    </row>
    <row r="1328" spans="1:11" x14ac:dyDescent="0.25">
      <c r="A1328" s="13" t="s">
        <v>7</v>
      </c>
      <c r="B1328" s="29">
        <v>45891</v>
      </c>
      <c r="C1328" s="20">
        <v>0.13741200000000001</v>
      </c>
      <c r="D1328" s="30">
        <f t="shared" ca="1" si="139"/>
        <v>165.78300926994149</v>
      </c>
      <c r="E1328" s="31">
        <f>+E1327*(1+C1327*F1328/365)</f>
        <v>165.78300926994149</v>
      </c>
      <c r="F1328" s="32">
        <f t="shared" si="136"/>
        <v>1</v>
      </c>
      <c r="G1328" s="20">
        <f t="shared" ca="1" si="140"/>
        <v>0.12888251737327217</v>
      </c>
      <c r="H1328" s="20">
        <f t="shared" ca="1" si="141"/>
        <v>0.12926495453488376</v>
      </c>
      <c r="I1328" s="20">
        <f t="shared" ca="1" si="137"/>
        <v>0.13077051057764966</v>
      </c>
      <c r="J1328" s="20">
        <f t="shared" ca="1" si="133"/>
        <v>0.13119937789773523</v>
      </c>
      <c r="K1328" s="36">
        <v>14</v>
      </c>
    </row>
    <row r="1329" spans="1:11" x14ac:dyDescent="0.25">
      <c r="A1329" s="23" t="s">
        <v>6</v>
      </c>
      <c r="B1329" s="24">
        <v>45892</v>
      </c>
      <c r="C1329" s="28">
        <v>0.13741200000000001</v>
      </c>
      <c r="D1329" s="25">
        <f t="shared" ca="1" si="139"/>
        <v>165.84542180383136</v>
      </c>
      <c r="E1329" s="26">
        <f>+E1328*(1+C1328*F1329/365)</f>
        <v>165.84542180383136</v>
      </c>
      <c r="F1329" s="27">
        <f t="shared" si="136"/>
        <v>1</v>
      </c>
      <c r="G1329" s="28">
        <f t="shared" ca="1" si="140"/>
        <v>0.13022993968457139</v>
      </c>
      <c r="H1329" s="28">
        <f t="shared" ca="1" si="141"/>
        <v>0.12958349277948855</v>
      </c>
      <c r="I1329" s="28">
        <f t="shared" ca="1" si="137"/>
        <v>0.13085602208418073</v>
      </c>
      <c r="J1329" s="28">
        <f t="shared" ca="1" si="133"/>
        <v>0.1312437514843238</v>
      </c>
      <c r="K1329" s="36">
        <v>14</v>
      </c>
    </row>
    <row r="1330" spans="1:11" x14ac:dyDescent="0.25">
      <c r="A1330" s="23" t="s">
        <v>6</v>
      </c>
      <c r="B1330" s="24">
        <v>45893</v>
      </c>
      <c r="C1330" s="28">
        <v>0.13741200000000001</v>
      </c>
      <c r="D1330" s="25">
        <f t="shared" ca="1" si="139"/>
        <v>165.90783433772123</v>
      </c>
      <c r="E1330" s="26">
        <f>+E1328*(1+C1329*F1330/365)</f>
        <v>165.90783433772123</v>
      </c>
      <c r="F1330" s="27">
        <f t="shared" si="136"/>
        <v>2</v>
      </c>
      <c r="G1330" s="28">
        <f t="shared" ca="1" si="140"/>
        <v>0.13157641761684261</v>
      </c>
      <c r="H1330" s="28">
        <f t="shared" ca="1" si="141"/>
        <v>0.12983991447243354</v>
      </c>
      <c r="I1330" s="28">
        <f t="shared" ca="1" si="137"/>
        <v>0.13094147274342086</v>
      </c>
      <c r="J1330" s="28">
        <f t="shared" ca="1" si="133"/>
        <v>0.13128727302412757</v>
      </c>
      <c r="K1330" s="36">
        <v>14</v>
      </c>
    </row>
    <row r="1331" spans="1:11" x14ac:dyDescent="0.25">
      <c r="A1331" s="13" t="s">
        <v>7</v>
      </c>
      <c r="B1331" s="29">
        <v>45894</v>
      </c>
      <c r="C1331" s="20">
        <v>0.14079800000000001</v>
      </c>
      <c r="D1331" s="30">
        <f t="shared" ca="1" si="139"/>
        <v>165.9702468716111</v>
      </c>
      <c r="E1331" s="31">
        <f>+E1328*(1+C1330*F1331/365)</f>
        <v>165.9702468716111</v>
      </c>
      <c r="F1331" s="32">
        <f t="shared" si="136"/>
        <v>3</v>
      </c>
      <c r="G1331" s="20">
        <f t="shared" ca="1" si="140"/>
        <v>0.13292195216256703</v>
      </c>
      <c r="H1331" s="20">
        <f t="shared" ca="1" si="141"/>
        <v>0.13008604715520528</v>
      </c>
      <c r="I1331" s="20">
        <f t="shared" ca="1" si="137"/>
        <v>0.13103322906461379</v>
      </c>
      <c r="J1331" s="20">
        <f t="shared" ca="1" si="133"/>
        <v>0.13133048988980608</v>
      </c>
      <c r="K1331" s="36">
        <v>14</v>
      </c>
    </row>
    <row r="1332" spans="1:11" x14ac:dyDescent="0.25">
      <c r="A1332" s="13" t="s">
        <v>7</v>
      </c>
      <c r="B1332" s="29">
        <v>45895</v>
      </c>
      <c r="C1332" s="20">
        <v>0.14680299999999999</v>
      </c>
      <c r="D1332" s="30">
        <f t="shared" ca="1" si="139"/>
        <v>166.03426955330704</v>
      </c>
      <c r="E1332" s="31">
        <f>+E1331*(1+C1331*F1332/365)</f>
        <v>166.03426955330704</v>
      </c>
      <c r="F1332" s="32">
        <f t="shared" si="136"/>
        <v>1</v>
      </c>
      <c r="G1332" s="20">
        <f t="shared" ca="1" si="140"/>
        <v>0.13475096290912766</v>
      </c>
      <c r="H1332" s="20">
        <f t="shared" ca="1" si="141"/>
        <v>0.13045125819371461</v>
      </c>
      <c r="I1332" s="20">
        <f t="shared" ca="1" si="137"/>
        <v>0.13115703917524862</v>
      </c>
      <c r="J1332" s="20">
        <f t="shared" ca="1" si="133"/>
        <v>0.13139434126075383</v>
      </c>
      <c r="K1332" s="36">
        <v>14</v>
      </c>
    </row>
    <row r="1333" spans="1:11" x14ac:dyDescent="0.25">
      <c r="A1333" s="13" t="s">
        <v>7</v>
      </c>
      <c r="B1333" s="29">
        <v>45896</v>
      </c>
      <c r="C1333" s="20">
        <v>0.14629200000000001</v>
      </c>
      <c r="D1333" s="30">
        <f t="shared" ca="1" si="139"/>
        <v>166.10104853652138</v>
      </c>
      <c r="E1333" s="31">
        <f>+E1332*(1+C1332*F1333/365)</f>
        <v>166.10104853652138</v>
      </c>
      <c r="F1333" s="32">
        <f t="shared" si="136"/>
        <v>1</v>
      </c>
      <c r="G1333" s="20">
        <f t="shared" ca="1" si="140"/>
        <v>0.13740229611629778</v>
      </c>
      <c r="H1333" s="20">
        <f t="shared" ca="1" si="141"/>
        <v>0.13102027871071148</v>
      </c>
      <c r="I1333" s="20">
        <f t="shared" ca="1" si="137"/>
        <v>0.1313525866396387</v>
      </c>
      <c r="J1333" s="20">
        <f t="shared" ca="1" si="133"/>
        <v>0.13155284337048945</v>
      </c>
      <c r="K1333" s="36">
        <v>14</v>
      </c>
    </row>
    <row r="1334" spans="1:11" x14ac:dyDescent="0.25">
      <c r="A1334" s="13" t="s">
        <v>7</v>
      </c>
      <c r="B1334" s="29">
        <v>45897</v>
      </c>
      <c r="C1334" s="20">
        <v>0.14047100000000001</v>
      </c>
      <c r="D1334" s="30">
        <f t="shared" ca="1" si="139"/>
        <v>166.1676218367748</v>
      </c>
      <c r="E1334" s="31">
        <f>+E1333*(1+C1333*F1334/365)</f>
        <v>166.1676218367748</v>
      </c>
      <c r="F1334" s="32">
        <f t="shared" si="136"/>
        <v>1</v>
      </c>
      <c r="G1334" s="20">
        <f t="shared" ca="1" si="140"/>
        <v>0.13987792988065961</v>
      </c>
      <c r="H1334" s="20">
        <f t="shared" ca="1" si="141"/>
        <v>0.13158496330793992</v>
      </c>
      <c r="I1334" s="20">
        <f t="shared" ca="1" si="137"/>
        <v>0.13153940532737335</v>
      </c>
      <c r="J1334" s="20">
        <f t="shared" ca="1" si="133"/>
        <v>0.13172127003873224</v>
      </c>
      <c r="K1334" s="36">
        <v>14</v>
      </c>
    </row>
    <row r="1335" spans="1:11" x14ac:dyDescent="0.25">
      <c r="A1335" s="13" t="s">
        <v>7</v>
      </c>
      <c r="B1335" s="29">
        <v>45898</v>
      </c>
      <c r="C1335" s="20">
        <v>0.13902700000000001</v>
      </c>
      <c r="D1335" s="30">
        <f t="shared" ref="D1335:D1340" ca="1" si="142">+IF(F1335=1,D1334*(1+C1334*F1335/365),OFFSET(D1334,-F1335+1,0)*(1+C1334*F1335/365))</f>
        <v>166.231571787479</v>
      </c>
      <c r="E1335" s="31">
        <f>+E1334*(1+C1334*F1335/365)</f>
        <v>166.231571787479</v>
      </c>
      <c r="F1335" s="32">
        <f t="shared" ref="F1335:F1340" si="143">IF(A1334="Working day",1,(IF(A1333="Working day",2,(IF(A1332="Working day",3,IF(A1331="Working day",4,IF(A1330="Working day",5,IF(A1329="Working day",6,7))))))))</f>
        <v>1</v>
      </c>
      <c r="G1335" s="20">
        <f t="shared" ref="G1335:G1340" ca="1" si="144">(D1335/OFFSET(D1335,-7,0)-1)*365/7</f>
        <v>0.1410840071886694</v>
      </c>
      <c r="H1335" s="20">
        <f t="shared" ca="1" si="141"/>
        <v>0.13196010226470889</v>
      </c>
      <c r="I1335" s="20">
        <f t="shared" ca="1" si="137"/>
        <v>0.1314917716193105</v>
      </c>
      <c r="J1335" s="20">
        <f t="shared" ca="1" si="133"/>
        <v>0.13185550623822642</v>
      </c>
      <c r="K1335" s="36">
        <v>14</v>
      </c>
    </row>
    <row r="1336" spans="1:11" x14ac:dyDescent="0.25">
      <c r="A1336" s="23" t="s">
        <v>6</v>
      </c>
      <c r="B1336" s="24">
        <v>45899</v>
      </c>
      <c r="C1336" s="28">
        <v>0.13902700000000001</v>
      </c>
      <c r="D1336" s="25">
        <f ca="1">+IF(F1336=1,D1335*(1+C1335*F1336/365),OFFSET(D1335,-F1336+1,0)*(1+C1335*F1336/365))</f>
        <v>166.29488871002943</v>
      </c>
      <c r="E1336" s="26">
        <f>+E1335*(1+C1335*F1336/365)</f>
        <v>166.29488871002943</v>
      </c>
      <c r="F1336" s="27">
        <f t="shared" si="143"/>
        <v>1</v>
      </c>
      <c r="G1336" s="28">
        <f ca="1">(D1336/OFFSET(D1336,-7,0)-1)*365/7</f>
        <v>0.14131525866327568</v>
      </c>
      <c r="H1336" s="28">
        <f ca="1">($D1336/OFFSET($D1336,-30,0)-1)*365/30</f>
        <v>0.13227274689372781</v>
      </c>
      <c r="I1336" s="28">
        <f ca="1">($D1336/OFFSET($D1336,-90,0)-1)*365/90</f>
        <v>0.13142823720439004</v>
      </c>
      <c r="J1336" s="28">
        <f ca="1">($D1336/OFFSET($D1336,-180,0)-1)*365/180</f>
        <v>0.13198143439559379</v>
      </c>
      <c r="K1336" s="36">
        <v>14</v>
      </c>
    </row>
    <row r="1337" spans="1:11" x14ac:dyDescent="0.25">
      <c r="A1337" s="23" t="s">
        <v>6</v>
      </c>
      <c r="B1337" s="24">
        <v>45900</v>
      </c>
      <c r="C1337" s="28">
        <v>0.13902700000000001</v>
      </c>
      <c r="D1337" s="25">
        <f t="shared" ca="1" si="142"/>
        <v>166.3582056325798</v>
      </c>
      <c r="E1337" s="26">
        <f>+E1335*(1+C1336*F1337/365)</f>
        <v>166.3582056325798</v>
      </c>
      <c r="F1337" s="27">
        <f t="shared" si="143"/>
        <v>2</v>
      </c>
      <c r="G1337" s="28">
        <f t="shared" ca="1" si="144"/>
        <v>0.14154633614981038</v>
      </c>
      <c r="H1337" s="28">
        <f t="shared" ca="1" si="141"/>
        <v>0.1325750268653203</v>
      </c>
      <c r="I1337" s="28">
        <f t="shared" ca="1" si="137"/>
        <v>0.1313647530785364</v>
      </c>
      <c r="J1337" s="28">
        <f t="shared" ca="1" si="133"/>
        <v>0.13210427050717805</v>
      </c>
      <c r="K1337" s="36">
        <v>14</v>
      </c>
    </row>
    <row r="1338" spans="1:11" x14ac:dyDescent="0.25">
      <c r="A1338" s="23" t="s">
        <v>6</v>
      </c>
      <c r="B1338" s="24">
        <v>45901</v>
      </c>
      <c r="C1338" s="28">
        <v>0.13902700000000001</v>
      </c>
      <c r="D1338" s="25">
        <f t="shared" ca="1" si="142"/>
        <v>166.4215225551302</v>
      </c>
      <c r="E1338" s="26">
        <f>+E1335*(1+C1337*F1338/365)</f>
        <v>166.4215225551302</v>
      </c>
      <c r="F1338" s="27">
        <f t="shared" si="143"/>
        <v>3</v>
      </c>
      <c r="G1338" s="28">
        <f ca="1">(D1338/OFFSET(D1338,-7,0)-1)*365/7</f>
        <v>0.14177723984459076</v>
      </c>
      <c r="H1338" s="28">
        <f t="shared" ca="1" si="141"/>
        <v>0.1328912636352205</v>
      </c>
      <c r="I1338" s="28">
        <f t="shared" ca="1" si="137"/>
        <v>0.13146705152569257</v>
      </c>
      <c r="J1338" s="28">
        <f t="shared" ca="1" si="133"/>
        <v>0.1322457790943446</v>
      </c>
      <c r="K1338" s="36">
        <v>14</v>
      </c>
    </row>
    <row r="1339" spans="1:11" x14ac:dyDescent="0.25">
      <c r="A1339" s="13" t="s">
        <v>7</v>
      </c>
      <c r="B1339" s="29">
        <v>45902</v>
      </c>
      <c r="C1339" s="20">
        <v>0.13309499999999999</v>
      </c>
      <c r="D1339" s="30">
        <f t="shared" ca="1" si="142"/>
        <v>166.48483947768062</v>
      </c>
      <c r="E1339" s="31">
        <f>+E1335*(1+C1338*F1339/365)</f>
        <v>166.48483947768062</v>
      </c>
      <c r="F1339" s="32">
        <f t="shared" si="143"/>
        <v>4</v>
      </c>
      <c r="G1339" s="20">
        <f t="shared" ca="1" si="144"/>
        <v>0.14150092786680049</v>
      </c>
      <c r="H1339" s="20">
        <f t="shared" ca="1" si="141"/>
        <v>0.13320727610899827</v>
      </c>
      <c r="I1339" s="20">
        <f t="shared" ca="1" si="137"/>
        <v>0.13159024803562616</v>
      </c>
      <c r="J1339" s="20">
        <f t="shared" ca="1" si="133"/>
        <v>0.13238698426733761</v>
      </c>
      <c r="K1339" s="36">
        <v>14</v>
      </c>
    </row>
    <row r="1340" spans="1:11" x14ac:dyDescent="0.25">
      <c r="A1340" s="13" t="s">
        <v>7</v>
      </c>
      <c r="B1340" s="29">
        <v>45903</v>
      </c>
      <c r="C1340" s="20">
        <v>0.133713</v>
      </c>
      <c r="D1340" s="30">
        <f t="shared" ca="1" si="142"/>
        <v>166.54554714811974</v>
      </c>
      <c r="E1340" s="31">
        <f>+E1339*(1+C1339*F1340/365)</f>
        <v>166.54554714811974</v>
      </c>
      <c r="F1340" s="32">
        <f t="shared" si="143"/>
        <v>1</v>
      </c>
      <c r="G1340" s="20">
        <f t="shared" ca="1" si="144"/>
        <v>0.13953811736278965</v>
      </c>
      <c r="H1340" s="20">
        <f t="shared" ca="1" si="141"/>
        <v>0.1333303617254725</v>
      </c>
      <c r="I1340" s="20">
        <f t="shared" ca="1" si="137"/>
        <v>0.13179132797404036</v>
      </c>
      <c r="J1340" s="20">
        <f t="shared" ca="1" si="133"/>
        <v>0.13248294771038699</v>
      </c>
      <c r="K1340" s="36">
        <v>14</v>
      </c>
    </row>
    <row r="1341" spans="1:11" x14ac:dyDescent="0.25">
      <c r="A1341" s="13" t="s">
        <v>7</v>
      </c>
      <c r="B1341" s="29">
        <v>45904</v>
      </c>
      <c r="C1341" s="20">
        <v>0.13</v>
      </c>
      <c r="D1341" s="30">
        <f t="shared" ref="D1341:D1346" ca="1" si="145">+IF(F1341=1,D1340*(1+C1340*F1341/365),OFFSET(D1340,-F1341+1,0)*(1+C1340*F1341/365))</f>
        <v>166.60655894194389</v>
      </c>
      <c r="E1341" s="31">
        <f>+E1340*(1+C1340*F1341/365)</f>
        <v>166.60655894194389</v>
      </c>
      <c r="F1341" s="32">
        <f>IF(A1340="Working day",1,(IF(A1339="Working day",2,(IF(A1338="Working day",3,IF(A1337="Working day",4,IF(A1336="Working day",5,IF(A1335="Working day",6,7))))))))</f>
        <v>1</v>
      </c>
      <c r="G1341" s="20">
        <f t="shared" ref="G1341:G1352" ca="1" si="146">(D1341/OFFSET(D1341,-7,0)-1)*365/7</f>
        <v>0.13773703033443035</v>
      </c>
      <c r="H1341" s="20">
        <f ca="1">($D1341/OFFSET($D1341,-30,0)-1)*365/30</f>
        <v>0.13350118723121573</v>
      </c>
      <c r="I1341" s="20">
        <f ca="1">($D1341/OFFSET($D1341,-90,0)-1)*365/90</f>
        <v>0.13188714515694794</v>
      </c>
      <c r="J1341" s="20">
        <f ca="1">($D1341/OFFSET($D1341,-180,0)-1)*365/180</f>
        <v>0.13254346780271042</v>
      </c>
      <c r="K1341" s="36">
        <v>14</v>
      </c>
    </row>
    <row r="1342" spans="1:11" x14ac:dyDescent="0.25">
      <c r="A1342" s="13" t="s">
        <v>7</v>
      </c>
      <c r="B1342" s="29">
        <v>45905</v>
      </c>
      <c r="C1342" s="20">
        <v>0.13130800000000001</v>
      </c>
      <c r="D1342" s="30">
        <f t="shared" ca="1" si="145"/>
        <v>166.66589826430678</v>
      </c>
      <c r="E1342" s="31">
        <f>+E1341*(1+C1341*F1342/365)</f>
        <v>166.66589826430678</v>
      </c>
      <c r="F1342" s="32">
        <f>IF(A1341="Working day",1,(IF(A1340="Working day",2,(IF(A1339="Working day",3,IF(A1338="Working day",4,IF(A1337="Working day",5,IF(A1336="Working day",6,7))))))))</f>
        <v>1</v>
      </c>
      <c r="G1342" s="20">
        <f t="shared" ca="1" si="146"/>
        <v>0.13623779881925788</v>
      </c>
      <c r="H1342" s="20">
        <f t="shared" ca="1" si="141"/>
        <v>0.13361447796462561</v>
      </c>
      <c r="I1342" s="20">
        <f t="shared" ca="1" si="137"/>
        <v>0.13193298785440652</v>
      </c>
      <c r="J1342" s="20">
        <f t="shared" ca="1" si="133"/>
        <v>0.1326493556906406</v>
      </c>
      <c r="K1342" s="36">
        <v>14</v>
      </c>
    </row>
    <row r="1343" spans="1:11" x14ac:dyDescent="0.25">
      <c r="A1343" s="23" t="s">
        <v>6</v>
      </c>
      <c r="B1343" s="24">
        <v>45906</v>
      </c>
      <c r="C1343" s="28">
        <v>0.13130800000000001</v>
      </c>
      <c r="D1343" s="25">
        <f t="shared" ca="1" si="145"/>
        <v>166.7258559787432</v>
      </c>
      <c r="E1343" s="26">
        <f>+E1342*(1+C1342*F1343/365)</f>
        <v>166.7258559787432</v>
      </c>
      <c r="F1343" s="27">
        <f t="shared" ref="F1343:F1348" si="147">IF(A1342="Working day",1,(IF(A1341="Working day",2,(IF(A1340="Working day",3,IF(A1339="Working day",4,IF(A1338="Working day",5,IF(A1337="Working day",6,7))))))))</f>
        <v>1</v>
      </c>
      <c r="G1343" s="28">
        <f t="shared" ca="1" si="146"/>
        <v>0.13513262434045001</v>
      </c>
      <c r="H1343" s="28">
        <f t="shared" ref="H1343:H1360" ca="1" si="148">($D1343/OFFSET($D1343,-30,0)-1)*365/30</f>
        <v>0.13379079972331517</v>
      </c>
      <c r="I1343" s="28">
        <f t="shared" ref="I1343:I1396" ca="1" si="149">($D1343/OFFSET($D1343,-90,0)-1)*365/90</f>
        <v>0.13199827324181773</v>
      </c>
      <c r="J1343" s="28">
        <f t="shared" ref="J1343:J1396" ca="1" si="150">($D1343/OFFSET($D1343,-180,0)-1)*365/180</f>
        <v>0.13272965627559397</v>
      </c>
      <c r="K1343" s="36">
        <v>14</v>
      </c>
    </row>
    <row r="1344" spans="1:11" x14ac:dyDescent="0.25">
      <c r="A1344" s="23" t="s">
        <v>6</v>
      </c>
      <c r="B1344" s="24">
        <v>45907</v>
      </c>
      <c r="C1344" s="28">
        <v>0.13130800000000001</v>
      </c>
      <c r="D1344" s="25">
        <f t="shared" ca="1" si="145"/>
        <v>166.78581369317959</v>
      </c>
      <c r="E1344" s="26">
        <f>+E1342*(1+C1343*F1344/365)</f>
        <v>166.78581369317959</v>
      </c>
      <c r="F1344" s="27">
        <f t="shared" si="147"/>
        <v>2</v>
      </c>
      <c r="G1344" s="28">
        <f t="shared" ca="1" si="146"/>
        <v>0.13402829113361484</v>
      </c>
      <c r="H1344" s="28">
        <f t="shared" ca="1" si="148"/>
        <v>0.13392729663874139</v>
      </c>
      <c r="I1344" s="28">
        <f t="shared" ca="1" si="149"/>
        <v>0.13206351372394404</v>
      </c>
      <c r="J1344" s="28">
        <f t="shared" ca="1" si="150"/>
        <v>0.13280990508929083</v>
      </c>
      <c r="K1344" s="36">
        <v>14</v>
      </c>
    </row>
    <row r="1345" spans="1:11" x14ac:dyDescent="0.25">
      <c r="A1345" s="13" t="s">
        <v>7</v>
      </c>
      <c r="B1345" s="29">
        <v>45908</v>
      </c>
      <c r="C1345" s="20">
        <v>0.12945100000000001</v>
      </c>
      <c r="D1345" s="30">
        <f t="shared" ca="1" si="145"/>
        <v>166.84577140761601</v>
      </c>
      <c r="E1345" s="31">
        <f>+E1342*(1+C1344*F1345/365)</f>
        <v>166.84577140761601</v>
      </c>
      <c r="F1345" s="32">
        <f t="shared" si="147"/>
        <v>3</v>
      </c>
      <c r="G1345" s="20">
        <f t="shared" ca="1" si="146"/>
        <v>0.13292479823852762</v>
      </c>
      <c r="H1345" s="20">
        <f t="shared" ca="1" si="148"/>
        <v>0.13404930258431044</v>
      </c>
      <c r="I1345" s="20">
        <f t="shared" ca="1" si="149"/>
        <v>0.13213170367989871</v>
      </c>
      <c r="J1345" s="20">
        <f t="shared" ca="1" si="150"/>
        <v>0.13287888865932998</v>
      </c>
      <c r="K1345" s="36">
        <v>14</v>
      </c>
    </row>
    <row r="1346" spans="1:11" x14ac:dyDescent="0.25">
      <c r="A1346" s="13" t="s">
        <v>7</v>
      </c>
      <c r="B1346" s="29">
        <v>45909</v>
      </c>
      <c r="C1346" s="20">
        <v>0.12953899999999999</v>
      </c>
      <c r="D1346" s="30">
        <f t="shared" ca="1" si="145"/>
        <v>166.90494497461461</v>
      </c>
      <c r="E1346" s="31">
        <f>+E1345*(1+C1345*F1346/365)</f>
        <v>166.90494497461461</v>
      </c>
      <c r="F1346" s="32">
        <f t="shared" si="147"/>
        <v>1</v>
      </c>
      <c r="G1346" s="20">
        <f t="shared" ca="1" si="146"/>
        <v>0.13157655063538246</v>
      </c>
      <c r="H1346" s="20">
        <f t="shared" ca="1" si="148"/>
        <v>0.13411343216198518</v>
      </c>
      <c r="I1346" s="20">
        <f t="shared" ca="1" si="149"/>
        <v>0.13218003480665164</v>
      </c>
      <c r="J1346" s="20">
        <f t="shared" ca="1" si="150"/>
        <v>0.13291823489050628</v>
      </c>
      <c r="K1346" s="36">
        <v>14</v>
      </c>
    </row>
    <row r="1347" spans="1:11" x14ac:dyDescent="0.25">
      <c r="A1347" s="13" t="s">
        <v>7</v>
      </c>
      <c r="B1347" s="29">
        <v>45910</v>
      </c>
      <c r="C1347" s="20">
        <v>0.13034799999999999</v>
      </c>
      <c r="D1347" s="30">
        <f t="shared" ref="D1347:D1353" ca="1" si="151">+IF(F1347=1,D1346*(1+C1346*F1347/365),OFFSET(D1346,-F1347+1,0)*(1+C1346*F1347/365))</f>
        <v>166.964179768223</v>
      </c>
      <c r="E1347" s="31">
        <f>+E1346*(1+C1346*F1347/365)</f>
        <v>166.964179768223</v>
      </c>
      <c r="F1347" s="32">
        <f t="shared" si="147"/>
        <v>1</v>
      </c>
      <c r="G1347" s="20">
        <f t="shared" ca="1" si="146"/>
        <v>0.13106745439414672</v>
      </c>
      <c r="H1347" s="20">
        <f t="shared" ca="1" si="148"/>
        <v>0.13418202773492424</v>
      </c>
      <c r="I1347" s="20">
        <f t="shared" ca="1" si="149"/>
        <v>0.13217953016289086</v>
      </c>
      <c r="J1347" s="20">
        <f t="shared" ca="1" si="150"/>
        <v>0.1329609490794848</v>
      </c>
      <c r="K1347" s="36">
        <v>14</v>
      </c>
    </row>
    <row r="1348" spans="1:11" x14ac:dyDescent="0.25">
      <c r="A1348" s="13" t="s">
        <v>7</v>
      </c>
      <c r="B1348" s="29">
        <v>45911</v>
      </c>
      <c r="C1348" s="20">
        <v>0.13</v>
      </c>
      <c r="D1348" s="30">
        <f t="shared" ca="1" si="151"/>
        <v>167.02380565015292</v>
      </c>
      <c r="E1348" s="31">
        <f>+E1347*(1+C1347*F1348/365)</f>
        <v>167.02380565015292</v>
      </c>
      <c r="F1348" s="32">
        <f t="shared" si="147"/>
        <v>1</v>
      </c>
      <c r="G1348" s="20">
        <f t="shared" ca="1" si="146"/>
        <v>0.13058570825565133</v>
      </c>
      <c r="H1348" s="20">
        <f t="shared" ca="1" si="148"/>
        <v>0.13427538045292853</v>
      </c>
      <c r="I1348" s="20">
        <f t="shared" ca="1" si="149"/>
        <v>0.13218721450814302</v>
      </c>
      <c r="J1348" s="20">
        <f t="shared" ca="1" si="150"/>
        <v>0.13297335860708964</v>
      </c>
      <c r="K1348" s="36">
        <v>14</v>
      </c>
    </row>
    <row r="1349" spans="1:11" x14ac:dyDescent="0.25">
      <c r="A1349" s="13" t="s">
        <v>7</v>
      </c>
      <c r="B1349" s="29">
        <v>45912</v>
      </c>
      <c r="C1349" s="20">
        <v>0.13325500000000001</v>
      </c>
      <c r="D1349" s="30">
        <f t="shared" ca="1" si="151"/>
        <v>167.08329358093243</v>
      </c>
      <c r="E1349" s="31">
        <f>+E1348*(1+C1348*F1349/365)</f>
        <v>167.08329358093243</v>
      </c>
      <c r="F1349" s="32">
        <f>IF(A1348="Working day",1,(IF(A1347="Working day",2,(IF(A1346="Working day",3,IF(A1345="Working day",4,IF(A1344="Working day",5,IF(A1343="Working day",6,7))))))))</f>
        <v>1</v>
      </c>
      <c r="G1349" s="20">
        <f t="shared" ca="1" si="146"/>
        <v>0.13058570825565133</v>
      </c>
      <c r="H1349" s="20">
        <f ca="1">($D1349/OFFSET($D1349,-30,0)-1)*365/30</f>
        <v>0.13435040678607765</v>
      </c>
      <c r="I1349" s="20">
        <f ca="1">($D1349/OFFSET($D1349,-90,0)-1)*365/90</f>
        <v>0.13219562143612162</v>
      </c>
      <c r="J1349" s="20">
        <f ca="1">($D1349/OFFSET($D1349,-180,0)-1)*365/180</f>
        <v>0.13298397540228407</v>
      </c>
      <c r="K1349" s="36">
        <v>14</v>
      </c>
    </row>
    <row r="1350" spans="1:11" x14ac:dyDescent="0.25">
      <c r="A1350" s="23" t="s">
        <v>6</v>
      </c>
      <c r="B1350" s="24">
        <v>45913</v>
      </c>
      <c r="C1350" s="28">
        <v>0.13325500000000001</v>
      </c>
      <c r="D1350" s="25">
        <f t="shared" ca="1" si="151"/>
        <v>167.14429271596293</v>
      </c>
      <c r="E1350" s="26">
        <f>+E1349*(1+C1349*F1350/365)</f>
        <v>167.14429271596293</v>
      </c>
      <c r="F1350" s="27">
        <f>IF(A1349="Working day",1,(IF(A1348="Working day",2,(IF(A1347="Working day",3,IF(A1346="Working day",4,IF(A1345="Working day",5,IF(A1344="Working day",6,7))))))))</f>
        <v>1</v>
      </c>
      <c r="G1350" s="28">
        <f t="shared" ca="1" si="146"/>
        <v>0.13086444741332898</v>
      </c>
      <c r="H1350" s="28">
        <f t="shared" ca="1" si="148"/>
        <v>0.13454203347066215</v>
      </c>
      <c r="I1350" s="28">
        <f t="shared" ca="1" si="149"/>
        <v>0.13224188561066075</v>
      </c>
      <c r="J1350" s="28">
        <f t="shared" ca="1" si="150"/>
        <v>0.13301412114528857</v>
      </c>
      <c r="K1350" s="36">
        <v>14</v>
      </c>
    </row>
    <row r="1351" spans="1:11" x14ac:dyDescent="0.25">
      <c r="A1351" s="23" t="s">
        <v>6</v>
      </c>
      <c r="B1351" s="24">
        <v>45914</v>
      </c>
      <c r="C1351" s="28">
        <v>0.13325500000000001</v>
      </c>
      <c r="D1351" s="25">
        <f t="shared" ca="1" si="151"/>
        <v>167.20529185099338</v>
      </c>
      <c r="E1351" s="26">
        <f>+E1349*(1+C1350*F1351/365)</f>
        <v>167.20529185099338</v>
      </c>
      <c r="F1351" s="27">
        <f>IF(A1350="Working day",1,(IF(A1349="Working day",2,(IF(A1348="Working day",3,IF(A1347="Working day",4,IF(A1346="Working day",5,IF(A1345="Working day",6,7))))))))</f>
        <v>2</v>
      </c>
      <c r="G1351" s="28">
        <f t="shared" ca="1" si="146"/>
        <v>0.1311429861635032</v>
      </c>
      <c r="H1351" s="28">
        <f t="shared" ca="1" si="148"/>
        <v>0.13471063119547383</v>
      </c>
      <c r="I1351" s="28">
        <f t="shared" ca="1" si="149"/>
        <v>0.13228811705049359</v>
      </c>
      <c r="J1351" s="28">
        <f t="shared" ca="1" si="150"/>
        <v>0.13305363732147724</v>
      </c>
      <c r="K1351" s="36">
        <v>14</v>
      </c>
    </row>
    <row r="1352" spans="1:11" x14ac:dyDescent="0.25">
      <c r="A1352" s="13" t="s">
        <v>7</v>
      </c>
      <c r="B1352" s="29">
        <v>45915</v>
      </c>
      <c r="C1352" s="20">
        <v>0.134882</v>
      </c>
      <c r="D1352" s="30">
        <f t="shared" ca="1" si="151"/>
        <v>167.26629098602388</v>
      </c>
      <c r="E1352" s="31">
        <f>+E1349*(1+C1351*F1352/365)</f>
        <v>167.26629098602388</v>
      </c>
      <c r="F1352" s="32">
        <f>IF(A1351="Working day",1,(IF(A1350="Working day",2,(IF(A1349="Working day",3,IF(A1348="Working day",4,IF(A1347="Working day",5,IF(A1346="Working day",6,7))))))))</f>
        <v>3</v>
      </c>
      <c r="G1352" s="20">
        <f t="shared" ca="1" si="146"/>
        <v>0.13142132472225493</v>
      </c>
      <c r="H1352" s="20">
        <f t="shared" ca="1" si="148"/>
        <v>0.13488439960247661</v>
      </c>
      <c r="I1352" s="20">
        <f t="shared" ca="1" si="149"/>
        <v>0.13232662891161118</v>
      </c>
      <c r="J1352" s="20">
        <f t="shared" ca="1" si="150"/>
        <v>0.13308464044271101</v>
      </c>
      <c r="K1352" s="36">
        <v>14</v>
      </c>
    </row>
    <row r="1353" spans="1:11" x14ac:dyDescent="0.25">
      <c r="A1353" s="13" t="s">
        <v>7</v>
      </c>
      <c r="B1353" s="29">
        <v>45916</v>
      </c>
      <c r="C1353" s="20">
        <v>0.13598499999999999</v>
      </c>
      <c r="D1353" s="30">
        <f t="shared" ca="1" si="151"/>
        <v>167.32810252536848</v>
      </c>
      <c r="E1353" s="31">
        <f>+E1352*(1+C1352*F1353/365)</f>
        <v>167.32810252536848</v>
      </c>
      <c r="F1353" s="32">
        <f t="shared" ref="F1353" si="152">IF(A1352="Working day",1,(IF(A1351="Working day",2,(IF(A1350="Working day",3,IF(A1349="Working day",4,IF(A1348="Working day",5,IF(A1347="Working day",6,7))))))))</f>
        <v>1</v>
      </c>
      <c r="G1353" s="20">
        <f t="shared" ref="G1353" ca="1" si="153">(D1353/OFFSET(D1353,-7,0)-1)*365/7</f>
        <v>0.13219886158097707</v>
      </c>
      <c r="H1353" s="20">
        <f t="shared" ca="1" si="148"/>
        <v>0.13511777332159697</v>
      </c>
      <c r="I1353" s="20">
        <f t="shared" ca="1" si="149"/>
        <v>0.13238262332681905</v>
      </c>
      <c r="J1353" s="20">
        <f t="shared" ca="1" si="150"/>
        <v>0.13314150192996685</v>
      </c>
      <c r="K1353" s="36">
        <v>14</v>
      </c>
    </row>
    <row r="1354" spans="1:11" x14ac:dyDescent="0.25">
      <c r="A1354" s="13" t="s">
        <v>7</v>
      </c>
      <c r="B1354" s="29">
        <v>45917</v>
      </c>
      <c r="C1354" s="20">
        <v>0.135684</v>
      </c>
      <c r="D1354" s="30">
        <f t="shared" ref="D1354" ca="1" si="154">+IF(F1354=1,D1353*(1+C1353*F1354/365),OFFSET(D1353,-F1354+1,0)*(1+C1353*F1354/365))</f>
        <v>167.39044255830524</v>
      </c>
      <c r="E1354" s="31">
        <f>+E1353*(1+C1353*F1354/365)</f>
        <v>167.39044255830524</v>
      </c>
      <c r="F1354" s="32">
        <f t="shared" ref="F1354" si="155">IF(A1353="Working day",1,(IF(A1352="Working day",2,(IF(A1351="Working day",3,IF(A1350="Working day",4,IF(A1349="Working day",5,IF(A1348="Working day",6,7))))))))</f>
        <v>1</v>
      </c>
      <c r="G1354" s="20">
        <f t="shared" ref="G1354" ca="1" si="156">(D1354/OFFSET(D1354,-7,0)-1)*365/7</f>
        <v>0.13312172586615464</v>
      </c>
      <c r="H1354" s="20">
        <f t="shared" ca="1" si="148"/>
        <v>0.1353898242079247</v>
      </c>
      <c r="I1354" s="20">
        <f t="shared" ca="1" si="149"/>
        <v>0.13245737158874696</v>
      </c>
      <c r="J1354" s="20">
        <f t="shared" ca="1" si="150"/>
        <v>0.13320651445523274</v>
      </c>
      <c r="K1354" s="36">
        <v>14</v>
      </c>
    </row>
    <row r="1355" spans="1:11" x14ac:dyDescent="0.25">
      <c r="A1355" s="13" t="s">
        <v>7</v>
      </c>
      <c r="B1355" s="29">
        <v>45918</v>
      </c>
      <c r="C1355" s="20">
        <v>0.136272</v>
      </c>
      <c r="D1355" s="30">
        <f t="shared" ref="D1355" ca="1" si="157">+IF(F1355=1,D1354*(1+C1354*F1355/365),OFFSET(D1354,-F1355+1,0)*(1+C1354*F1355/365))</f>
        <v>167.45266777695753</v>
      </c>
      <c r="E1355" s="31">
        <f>+E1354*(1+C1354*F1355/365)</f>
        <v>167.45266777695753</v>
      </c>
      <c r="F1355" s="32">
        <f t="shared" ref="F1355" si="158">IF(A1354="Working day",1,(IF(A1353="Working day",2,(IF(A1352="Working day",3,IF(A1351="Working day",4,IF(A1350="Working day",5,IF(A1349="Working day",6,7))))))))</f>
        <v>1</v>
      </c>
      <c r="G1355" s="20">
        <f t="shared" ref="G1355" ca="1" si="159">(D1355/OFFSET(D1355,-7,0)-1)*365/7</f>
        <v>0.13388568488730473</v>
      </c>
      <c r="H1355" s="20">
        <f t="shared" ca="1" si="148"/>
        <v>0.13564794204287786</v>
      </c>
      <c r="I1355" s="20">
        <f t="shared" ca="1" si="149"/>
        <v>0.13252256663017864</v>
      </c>
      <c r="J1355" s="20">
        <f t="shared" ca="1" si="150"/>
        <v>0.13327000075475842</v>
      </c>
      <c r="K1355" s="36">
        <v>14</v>
      </c>
    </row>
    <row r="1356" spans="1:11" x14ac:dyDescent="0.25">
      <c r="A1356" s="13" t="s">
        <v>7</v>
      </c>
      <c r="B1356" s="29">
        <v>45919</v>
      </c>
      <c r="C1356" s="20">
        <v>0.13616700000000001</v>
      </c>
      <c r="D1356" s="30">
        <f t="shared" ref="D1356:D1360" ca="1" si="160">+IF(F1356=1,D1355*(1+C1355*F1356/365),OFFSET(D1355,-F1356+1,0)*(1+C1355*F1356/365))</f>
        <v>167.51518588639124</v>
      </c>
      <c r="E1356" s="31">
        <f>+E1355*(1+C1355*F1356/365)</f>
        <v>167.51518588639124</v>
      </c>
      <c r="F1356" s="32">
        <f t="shared" ref="F1356" si="161">IF(A1355="Working day",1,(IF(A1354="Working day",2,(IF(A1353="Working day",3,IF(A1352="Working day",4,IF(A1351="Working day",5,IF(A1350="Working day",6,7))))))))</f>
        <v>1</v>
      </c>
      <c r="G1356" s="20">
        <f t="shared" ref="G1356:G1360" ca="1" si="162">(D1356/OFFSET(D1356,-7,0)-1)*365/7</f>
        <v>0.13478366569143871</v>
      </c>
      <c r="H1356" s="20">
        <f t="shared" ca="1" si="148"/>
        <v>0.13591704906858776</v>
      </c>
      <c r="I1356" s="20">
        <f t="shared" ca="1" si="149"/>
        <v>0.13259450710612564</v>
      </c>
      <c r="J1356" s="20">
        <f t="shared" ca="1" si="150"/>
        <v>0.13333722220189245</v>
      </c>
      <c r="K1356" s="36">
        <v>14</v>
      </c>
    </row>
    <row r="1357" spans="1:11" x14ac:dyDescent="0.25">
      <c r="A1357" s="23" t="s">
        <v>6</v>
      </c>
      <c r="B1357" s="24">
        <v>45920</v>
      </c>
      <c r="C1357" s="28">
        <v>0.13616700000000001</v>
      </c>
      <c r="D1357" s="25">
        <f t="shared" ca="1" si="160"/>
        <v>167.57767914753259</v>
      </c>
      <c r="E1357" s="26">
        <f>+E1356*(1+C1356*F1357/365)</f>
        <v>167.57767914753259</v>
      </c>
      <c r="F1357" s="27">
        <f>IF(A1356="Working day",1,(IF(A1355="Working day",2,(IF(A1354="Working day",3,IF(A1353="Working day",4,IF(A1352="Working day",5,IF(A1351="Working day",6,7))))))))</f>
        <v>1</v>
      </c>
      <c r="G1357" s="28">
        <f t="shared" ca="1" si="162"/>
        <v>0.13520058879540078</v>
      </c>
      <c r="H1357" s="28">
        <f t="shared" ca="1" si="148"/>
        <v>0.13615846514849761</v>
      </c>
      <c r="I1357" s="28">
        <f t="shared" ca="1" si="149"/>
        <v>0.13266577534696722</v>
      </c>
      <c r="J1357" s="28">
        <f t="shared" ca="1" si="150"/>
        <v>0.13340407721150227</v>
      </c>
      <c r="K1357" s="36">
        <v>14</v>
      </c>
    </row>
    <row r="1358" spans="1:11" x14ac:dyDescent="0.25">
      <c r="A1358" s="23" t="s">
        <v>6</v>
      </c>
      <c r="B1358" s="24">
        <v>45921</v>
      </c>
      <c r="C1358" s="28">
        <v>0.13616700000000001</v>
      </c>
      <c r="D1358" s="25">
        <f t="shared" ca="1" si="160"/>
        <v>167.64017240867392</v>
      </c>
      <c r="E1358" s="26">
        <f>+E1356*(1+C1357*F1358/365)</f>
        <v>167.64017240867392</v>
      </c>
      <c r="F1358" s="27">
        <f>IF(A1357="Working day",1,(IF(A1356="Working day",2,(IF(A1355="Working day",3,IF(A1354="Working day",4,IF(A1353="Working day",5,IF(A1352="Working day",6,7))))))))</f>
        <v>2</v>
      </c>
      <c r="G1358" s="28">
        <f t="shared" ca="1" si="162"/>
        <v>0.13561720769908311</v>
      </c>
      <c r="H1358" s="28">
        <f t="shared" ca="1" si="148"/>
        <v>0.1362955405025007</v>
      </c>
      <c r="I1358" s="28">
        <f t="shared" ca="1" si="149"/>
        <v>0.132736992875575</v>
      </c>
      <c r="J1358" s="28">
        <f t="shared" ca="1" si="150"/>
        <v>0.13346987433282489</v>
      </c>
      <c r="K1358" s="36">
        <v>14</v>
      </c>
    </row>
    <row r="1359" spans="1:11" x14ac:dyDescent="0.25">
      <c r="A1359" s="13" t="s">
        <v>7</v>
      </c>
      <c r="B1359" s="29">
        <v>45922</v>
      </c>
      <c r="C1359" s="20">
        <v>0.13572799999999999</v>
      </c>
      <c r="D1359" s="30">
        <f t="shared" ca="1" si="160"/>
        <v>167.70266566981527</v>
      </c>
      <c r="E1359" s="31">
        <f>+E1356*(1+C1358*F1359/365)</f>
        <v>167.70266566981527</v>
      </c>
      <c r="F1359" s="32">
        <f>IF(A1358="Working day",1,(IF(A1357="Working day",2,(IF(A1356="Working day",3,IF(A1355="Working day",4,IF(A1354="Working day",5,IF(A1353="Working day",6,7))))))))</f>
        <v>3</v>
      </c>
      <c r="G1359" s="20">
        <f t="shared" ca="1" si="162"/>
        <v>0.13603352273528491</v>
      </c>
      <c r="H1359" s="20">
        <f t="shared" ca="1" si="148"/>
        <v>0.13625017073347695</v>
      </c>
      <c r="I1359" s="20">
        <f t="shared" ca="1" si="149"/>
        <v>0.13280656809386265</v>
      </c>
      <c r="J1359" s="20">
        <f t="shared" ca="1" si="150"/>
        <v>0.13353537310713243</v>
      </c>
      <c r="K1359" s="36">
        <v>14</v>
      </c>
    </row>
    <row r="1360" spans="1:11" x14ac:dyDescent="0.25">
      <c r="A1360" s="13" t="s">
        <v>7</v>
      </c>
      <c r="B1360" s="29">
        <v>45923</v>
      </c>
      <c r="C1360" s="20">
        <v>0.13669500000000001</v>
      </c>
      <c r="D1360" s="30">
        <f t="shared" ca="1" si="160"/>
        <v>167.76502716955784</v>
      </c>
      <c r="E1360" s="31">
        <f>+E1359*(1+C1359*F1360/365)</f>
        <v>167.76502716955784</v>
      </c>
      <c r="F1360" s="32">
        <f t="shared" ref="F1360" si="163">IF(A1359="Working day",1,(IF(A1358="Working day",2,(IF(A1357="Working day",3,IF(A1356="Working day",4,IF(A1355="Working day",5,IF(A1354="Working day",6,7))))))))</f>
        <v>1</v>
      </c>
      <c r="G1360" s="20">
        <f t="shared" ca="1" si="162"/>
        <v>0.13615465041627503</v>
      </c>
      <c r="H1360" s="20">
        <f t="shared" ca="1" si="148"/>
        <v>0.13619517252381774</v>
      </c>
      <c r="I1360" s="20">
        <f t="shared" ca="1" si="149"/>
        <v>0.1328763111066564</v>
      </c>
      <c r="J1360" s="20">
        <f t="shared" ca="1" si="150"/>
        <v>0.13359887620191579</v>
      </c>
      <c r="K1360" s="36">
        <v>14</v>
      </c>
    </row>
    <row r="1361" spans="1:11" x14ac:dyDescent="0.25">
      <c r="A1361" s="13" t="s">
        <v>7</v>
      </c>
      <c r="B1361" s="29">
        <v>45924</v>
      </c>
      <c r="C1361" s="20">
        <v>0.13914899999999999</v>
      </c>
      <c r="D1361" s="30">
        <f t="shared" ref="D1361" ca="1" si="164">+IF(F1361=1,D1360*(1+C1360*F1361/365),OFFSET(D1360,-F1361+1,0)*(1+C1360*F1361/365))</f>
        <v>167.82785632130836</v>
      </c>
      <c r="E1361" s="31">
        <f>+E1360*(1+C1360*F1361/365)</f>
        <v>167.82785632130836</v>
      </c>
      <c r="F1361" s="32">
        <f t="shared" ref="F1361" si="165">IF(A1360="Working day",1,(IF(A1359="Working day",2,(IF(A1358="Working day",3,IF(A1357="Working day",4,IF(A1356="Working day",5,IF(A1355="Working day",6,7))))))))</f>
        <v>1</v>
      </c>
      <c r="G1361" s="20">
        <f t="shared" ref="G1361" ca="1" si="166">(D1361/OFFSET(D1361,-7,0)-1)*365/7</f>
        <v>0.13625630596350452</v>
      </c>
      <c r="H1361" s="20">
        <f ca="1">($D1361/OFFSET($D1361,-30,0)-1)*365/30</f>
        <v>0.13617449752183547</v>
      </c>
      <c r="I1361" s="20">
        <f t="shared" ca="1" si="149"/>
        <v>0.13299876611596148</v>
      </c>
      <c r="J1361" s="20">
        <f t="shared" ca="1" si="150"/>
        <v>0.13366810536992252</v>
      </c>
      <c r="K1361" s="36">
        <v>14</v>
      </c>
    </row>
    <row r="1362" spans="1:11" x14ac:dyDescent="0.25">
      <c r="A1362" s="13" t="s">
        <v>7</v>
      </c>
      <c r="B1362" s="29">
        <v>45925</v>
      </c>
      <c r="C1362" s="20">
        <v>0.13799</v>
      </c>
      <c r="D1362" s="30">
        <f t="shared" ref="D1362" ca="1" si="167">+IF(F1362=1,D1361*(1+C1361*F1362/365),OFFSET(D1361,-F1362+1,0)*(1+C1361*F1362/365))</f>
        <v>167.89183735796385</v>
      </c>
      <c r="E1362" s="31">
        <f>+E1361*(1+C1361*F1362/365)</f>
        <v>167.89183735796385</v>
      </c>
      <c r="F1362" s="32">
        <f t="shared" ref="F1362" si="168">IF(A1361="Working day",1,(IF(A1360="Working day",2,(IF(A1359="Working day",3,IF(A1358="Working day",4,IF(A1357="Working day",5,IF(A1356="Working day",6,7))))))))</f>
        <v>1</v>
      </c>
      <c r="G1362" s="20">
        <f t="shared" ref="G1362" ca="1" si="169">(D1362/OFFSET(D1362,-7,0)-1)*365/7</f>
        <v>0.13675241504305657</v>
      </c>
      <c r="H1362" s="20">
        <f ca="1">($D1362/OFFSET($D1362,-30,0)-1)*365/30</f>
        <v>0.13611893707723366</v>
      </c>
      <c r="I1362" s="20">
        <f t="shared" ca="1" si="149"/>
        <v>0.13310371800566903</v>
      </c>
      <c r="J1362" s="20">
        <f t="shared" ca="1" si="150"/>
        <v>0.13374002392438233</v>
      </c>
      <c r="K1362" s="36">
        <v>14</v>
      </c>
    </row>
    <row r="1363" spans="1:11" x14ac:dyDescent="0.25">
      <c r="A1363" s="13" t="s">
        <v>7</v>
      </c>
      <c r="B1363" s="29">
        <v>45926</v>
      </c>
      <c r="C1363" s="20">
        <v>0.139902</v>
      </c>
      <c r="D1363" s="30">
        <f t="shared" ref="D1363:D1367" ca="1" si="170">+IF(F1363=1,D1362*(1+C1362*F1363/365),OFFSET(D1362,-F1363+1,0)*(1+C1362*F1363/365))</f>
        <v>167.95530967203788</v>
      </c>
      <c r="E1363" s="31">
        <f>+E1362*(1+C1362*F1363/365)</f>
        <v>167.95530967203788</v>
      </c>
      <c r="F1363" s="32">
        <f t="shared" ref="F1363" si="171">IF(A1362="Working day",1,(IF(A1361="Working day",2,(IF(A1360="Working day",3,IF(A1359="Working day",4,IF(A1358="Working day",5,IF(A1357="Working day",6,7))))))))</f>
        <v>1</v>
      </c>
      <c r="G1363" s="20">
        <f t="shared" ref="G1363:G1369" ca="1" si="172">(D1363/OFFSET(D1363,-7,0)-1)*365/7</f>
        <v>0.13699839545120773</v>
      </c>
      <c r="H1363" s="20">
        <f ca="1">($D1363/OFFSET($D1363,-30,0)-1)*365/30</f>
        <v>0.13582200321766164</v>
      </c>
      <c r="I1363" s="20">
        <f t="shared" ca="1" si="149"/>
        <v>0.13319537683292462</v>
      </c>
      <c r="J1363" s="20">
        <f t="shared" ca="1" si="150"/>
        <v>0.13380534521177762</v>
      </c>
      <c r="K1363" s="36">
        <v>14</v>
      </c>
    </row>
    <row r="1364" spans="1:11" x14ac:dyDescent="0.25">
      <c r="A1364" s="23" t="s">
        <v>6</v>
      </c>
      <c r="B1364" s="24">
        <v>45927</v>
      </c>
      <c r="C1364" s="28">
        <v>0.139902</v>
      </c>
      <c r="D1364" s="25">
        <f t="shared" ca="1" si="170"/>
        <v>168.01968579185632</v>
      </c>
      <c r="E1364" s="26">
        <f>+E1363*(1+C1363*F1364/365)</f>
        <v>168.01968579185632</v>
      </c>
      <c r="F1364" s="27">
        <f>IF(A1363="Working day",1,(IF(A1362="Working day",2,(IF(A1361="Working day",3,IF(A1360="Working day",4,IF(A1359="Working day",5,IF(A1358="Working day",6,7))))))))</f>
        <v>1</v>
      </c>
      <c r="G1364" s="28">
        <f t="shared" ca="1" si="172"/>
        <v>0.13753316926459899</v>
      </c>
      <c r="H1364" s="28">
        <f t="shared" ref="H1364:H1396" ca="1" si="173">($D1364/OFFSET($D1364,-30,0)-1)*365/30</f>
        <v>0.13560671169116045</v>
      </c>
      <c r="I1364" s="28">
        <f t="shared" ca="1" si="149"/>
        <v>0.13330950301502106</v>
      </c>
      <c r="J1364" s="28">
        <f t="shared" ca="1" si="150"/>
        <v>0.13388224901776102</v>
      </c>
      <c r="K1364" s="36">
        <v>14</v>
      </c>
    </row>
    <row r="1365" spans="1:11" x14ac:dyDescent="0.25">
      <c r="A1365" s="23" t="s">
        <v>6</v>
      </c>
      <c r="B1365" s="24">
        <v>45928</v>
      </c>
      <c r="C1365" s="28">
        <v>0.139902</v>
      </c>
      <c r="D1365" s="25">
        <f t="shared" ca="1" si="170"/>
        <v>168.08406191167481</v>
      </c>
      <c r="E1365" s="26">
        <f>+E1363*(1+C1364*F1365/365)</f>
        <v>168.08406191167481</v>
      </c>
      <c r="F1365" s="27">
        <f>IF(A1364="Working day",1,(IF(A1363="Working day",2,(IF(A1362="Working day",3,IF(A1361="Working day",4,IF(A1360="Working day",5,IF(A1359="Working day",6,7))))))))</f>
        <v>2</v>
      </c>
      <c r="G1365" s="28">
        <f t="shared" ca="1" si="172"/>
        <v>0.13806754436975829</v>
      </c>
      <c r="H1365" s="28">
        <f t="shared" ca="1" si="173"/>
        <v>0.13558573502028412</v>
      </c>
      <c r="I1365" s="28">
        <f t="shared" ca="1" si="149"/>
        <v>0.13342354798852799</v>
      </c>
      <c r="J1365" s="28">
        <f t="shared" ca="1" si="150"/>
        <v>0.13395909938150449</v>
      </c>
      <c r="K1365" s="36">
        <v>14</v>
      </c>
    </row>
    <row r="1366" spans="1:11" x14ac:dyDescent="0.25">
      <c r="A1366" s="13" t="s">
        <v>7</v>
      </c>
      <c r="B1366" s="29">
        <v>45929</v>
      </c>
      <c r="C1366" s="20">
        <v>0.14102200000000001</v>
      </c>
      <c r="D1366" s="30">
        <f t="shared" ca="1" si="170"/>
        <v>168.14843803149327</v>
      </c>
      <c r="E1366" s="31">
        <f>+E1363*(1+C1365*F1366/365)</f>
        <v>168.14843803149327</v>
      </c>
      <c r="F1366" s="32">
        <f>IF(A1365="Working day",1,(IF(A1364="Working day",2,(IF(A1363="Working day",3,IF(A1362="Working day",4,IF(A1361="Working day",5,IF(A1360="Working day",6,7))))))))</f>
        <v>3</v>
      </c>
      <c r="G1366" s="20">
        <f t="shared" ca="1" si="172"/>
        <v>0.13860152121239383</v>
      </c>
      <c r="H1366" s="20">
        <f t="shared" ca="1" si="173"/>
        <v>0.1356116048990551</v>
      </c>
      <c r="I1366" s="20">
        <f t="shared" ca="1" si="149"/>
        <v>0.13353591991072453</v>
      </c>
      <c r="J1366" s="20">
        <f t="shared" ca="1" si="150"/>
        <v>0.13404971830565793</v>
      </c>
      <c r="K1366" s="36">
        <v>14</v>
      </c>
    </row>
    <row r="1367" spans="1:11" x14ac:dyDescent="0.25">
      <c r="A1367" s="13" t="s">
        <v>7</v>
      </c>
      <c r="B1367" s="29">
        <v>45930</v>
      </c>
      <c r="C1367" s="20">
        <v>0.14011000000000001</v>
      </c>
      <c r="D1367" s="30">
        <f t="shared" ca="1" si="170"/>
        <v>168.21340413841949</v>
      </c>
      <c r="E1367" s="31">
        <f>+E1366*(1+C1366*F1367/365)</f>
        <v>168.21340413841949</v>
      </c>
      <c r="F1367" s="32">
        <f t="shared" ref="F1367" si="174">IF(A1366="Working day",1,(IF(A1365="Working day",2,(IF(A1364="Working day",3,IF(A1363="Working day",4,IF(A1362="Working day",5,IF(A1361="Working day",6,7))))))))</f>
        <v>1</v>
      </c>
      <c r="G1367" s="20">
        <f t="shared" ca="1" si="172"/>
        <v>0.13935953534505971</v>
      </c>
      <c r="H1367" s="20">
        <f t="shared" ca="1" si="173"/>
        <v>0.13568060400279591</v>
      </c>
      <c r="I1367" s="20">
        <f t="shared" ca="1" si="149"/>
        <v>0.13372485806254661</v>
      </c>
      <c r="J1367" s="20">
        <f t="shared" ca="1" si="150"/>
        <v>0.13414616800304852</v>
      </c>
      <c r="K1367" s="36">
        <v>14</v>
      </c>
    </row>
    <row r="1368" spans="1:11" x14ac:dyDescent="0.25">
      <c r="A1368" s="23" t="s">
        <v>6</v>
      </c>
      <c r="B1368" s="24">
        <v>45931</v>
      </c>
      <c r="C1368" s="28">
        <v>0.14011000000000001</v>
      </c>
      <c r="D1368" s="25">
        <f t="shared" ref="D1368" ca="1" si="175">+IF(F1368=1,D1367*(1+C1367*F1368/365),OFFSET(D1367,-F1368+1,0)*(1+C1367*F1368/365))</f>
        <v>168.27797504267656</v>
      </c>
      <c r="E1368" s="26">
        <f>+E1367*(1+C1367*F1368/365)</f>
        <v>168.27797504267656</v>
      </c>
      <c r="F1368" s="27">
        <f>IF(A1367="Working day",1,(IF(A1366="Working day",2,(IF(A1365="Working day",3,IF(A1364="Working day",4,IF(A1363="Working day",5,6)))))))</f>
        <v>1</v>
      </c>
      <c r="G1368" s="28">
        <f t="shared" ca="1" si="172"/>
        <v>0.13984851323305988</v>
      </c>
      <c r="H1368" s="28">
        <f t="shared" ca="1" si="173"/>
        <v>0.13572065831207808</v>
      </c>
      <c r="I1368" s="28">
        <f t="shared" ca="1" si="149"/>
        <v>0.13386701430399758</v>
      </c>
      <c r="J1368" s="28">
        <f t="shared" ca="1" si="150"/>
        <v>0.13423850100325313</v>
      </c>
      <c r="K1368" s="36">
        <v>14</v>
      </c>
    </row>
    <row r="1369" spans="1:11" x14ac:dyDescent="0.25">
      <c r="A1369" s="13" t="s">
        <v>7</v>
      </c>
      <c r="B1369" s="29">
        <v>45932</v>
      </c>
      <c r="C1369" s="20">
        <v>0.13950599999999999</v>
      </c>
      <c r="D1369" s="30">
        <f ca="1">+IF(F1369=1,D1368*(1+C1368*F1369/365),OFFSET(D1368,-F1369+1,0)*(1+C1368*F1369/365))</f>
        <v>168.34254594693365</v>
      </c>
      <c r="E1369" s="31">
        <f>+E1367*(1+C1368*F1369/365)</f>
        <v>168.34254594693365</v>
      </c>
      <c r="F1369" s="32">
        <f>IF(A1368="Working day",1,(IF(A1367="Working day",2,(IF(A1366="Working day",3,IF(A1365="Working day",4,IF(A1364="Working day",5,IF(A1363="Working day",6,7))))))))</f>
        <v>2</v>
      </c>
      <c r="G1369" s="20">
        <f t="shared" ca="1" si="172"/>
        <v>0.13997841668504959</v>
      </c>
      <c r="H1369" s="20">
        <f t="shared" ca="1" si="173"/>
        <v>0.13576068215473683</v>
      </c>
      <c r="I1369" s="20">
        <f t="shared" ca="1" si="149"/>
        <v>0.13404101939158614</v>
      </c>
      <c r="J1369" s="20">
        <f t="shared" ca="1" si="150"/>
        <v>0.13433317838850517</v>
      </c>
      <c r="K1369" s="36">
        <v>14</v>
      </c>
    </row>
    <row r="1370" spans="1:11" x14ac:dyDescent="0.25">
      <c r="A1370" s="13" t="s">
        <v>7</v>
      </c>
      <c r="B1370" s="29">
        <v>45933</v>
      </c>
      <c r="C1370" s="20">
        <v>0.139903</v>
      </c>
      <c r="D1370" s="30">
        <f t="shared" ref="D1370" ca="1" si="176">+IF(F1370=1,D1369*(1+C1369*F1370/365),OFFSET(D1369,-F1370+1,0)*(1+C1369*F1370/365))</f>
        <v>168.40688785163192</v>
      </c>
      <c r="E1370" s="31">
        <f t="shared" ref="E1370:E1375" si="177">+E1369*(1+C1369*F1370/365)</f>
        <v>168.40688785163192</v>
      </c>
      <c r="F1370" s="32">
        <f t="shared" ref="F1370" si="178">IF(A1369="Working day",1,(IF(A1368="Working day",2,(IF(A1367="Working day",3,IF(A1366="Working day",4,IF(A1365="Working day",5,IF(A1364="Working day",6,7))))))))</f>
        <v>1</v>
      </c>
      <c r="G1370" s="20">
        <f t="shared" ref="G1370" ca="1" si="179">(D1370/OFFSET(D1370,-7,0)-1)*365/7</f>
        <v>0.14019548743878468</v>
      </c>
      <c r="H1370" s="20">
        <f t="shared" ca="1" si="173"/>
        <v>0.1359766879422511</v>
      </c>
      <c r="I1370" s="20">
        <f t="shared" ca="1" si="149"/>
        <v>0.13417573950356174</v>
      </c>
      <c r="J1370" s="20">
        <f t="shared" ca="1" si="150"/>
        <v>0.13442485129247991</v>
      </c>
      <c r="K1370" s="36">
        <v>14</v>
      </c>
    </row>
    <row r="1371" spans="1:11" x14ac:dyDescent="0.25">
      <c r="A1371" s="23" t="s">
        <v>6</v>
      </c>
      <c r="B1371" s="24">
        <v>45934</v>
      </c>
      <c r="C1371" s="28">
        <v>0.139903</v>
      </c>
      <c r="D1371" s="25">
        <f t="shared" ref="D1371" ca="1" si="180">+IF(F1371=1,D1370*(1+C1370*F1371/365),OFFSET(D1370,-F1371+1,0)*(1+C1370*F1371/365))</f>
        <v>168.47143751966235</v>
      </c>
      <c r="E1371" s="26">
        <f t="shared" si="177"/>
        <v>168.47143751966235</v>
      </c>
      <c r="F1371" s="27">
        <f t="shared" ref="F1371" si="181">IF(A1370="Working day",1,(IF(A1369="Working day",2,(IF(A1368="Working day",3,IF(A1367="Working day",4,IF(A1366="Working day",5,IF(A1365="Working day",6,7))))))))</f>
        <v>1</v>
      </c>
      <c r="G1371" s="28">
        <f t="shared" ref="G1371" ca="1" si="182">(D1371/OFFSET(D1371,-7,0)-1)*365/7</f>
        <v>0.14019563062514775</v>
      </c>
      <c r="H1371" s="28">
        <f t="shared" ca="1" si="173"/>
        <v>0.13618525088687725</v>
      </c>
      <c r="I1371" s="28">
        <f t="shared" ca="1" si="149"/>
        <v>0.13431553242371205</v>
      </c>
      <c r="J1371" s="28">
        <f t="shared" ca="1" si="150"/>
        <v>0.13451912853938794</v>
      </c>
      <c r="K1371" s="36">
        <v>14</v>
      </c>
    </row>
    <row r="1372" spans="1:11" x14ac:dyDescent="0.25">
      <c r="A1372" s="23" t="s">
        <v>6</v>
      </c>
      <c r="B1372" s="24">
        <v>45935</v>
      </c>
      <c r="C1372" s="28">
        <v>0.139903</v>
      </c>
      <c r="D1372" s="25">
        <f t="shared" ref="D1372:D1374" ca="1" si="183">+IF(F1372=1,D1371*(1+C1371*F1372/365),OFFSET(D1371,-F1372+1,0)*(1+C1371*F1372/365))</f>
        <v>168.5359871876928</v>
      </c>
      <c r="E1372" s="26">
        <f t="shared" si="177"/>
        <v>168.60058633896818</v>
      </c>
      <c r="F1372" s="27">
        <f t="shared" ref="F1372:F1374" si="184">IF(A1371="Working day",1,(IF(A1370="Working day",2,(IF(A1369="Working day",3,IF(A1368="Working day",4,IF(A1367="Working day",5,IF(A1366="Working day",6,7))))))))</f>
        <v>2</v>
      </c>
      <c r="G1372" s="28">
        <f t="shared" ref="G1372:G1374" ca="1" si="185">(D1372/OFFSET(D1372,-7,0)-1)*365/7</f>
        <v>0.14019577370182049</v>
      </c>
      <c r="H1372" s="28">
        <f t="shared" ca="1" si="173"/>
        <v>0.13651712080764736</v>
      </c>
      <c r="I1372" s="28">
        <f t="shared" ca="1" si="149"/>
        <v>0.13445522757999501</v>
      </c>
      <c r="J1372" s="28">
        <f t="shared" ca="1" si="150"/>
        <v>0.13461465425904043</v>
      </c>
      <c r="K1372" s="36">
        <v>14</v>
      </c>
    </row>
    <row r="1373" spans="1:11" x14ac:dyDescent="0.25">
      <c r="A1373" s="13" t="s">
        <v>7</v>
      </c>
      <c r="B1373" s="29">
        <v>45936</v>
      </c>
      <c r="C1373" s="20">
        <v>0.13823099999999999</v>
      </c>
      <c r="D1373" s="30">
        <f t="shared" ca="1" si="183"/>
        <v>168.60053685572319</v>
      </c>
      <c r="E1373" s="31">
        <f>+E1370*(1+C1372*F1373/365)</f>
        <v>168.60053685572319</v>
      </c>
      <c r="F1373" s="32">
        <f t="shared" si="184"/>
        <v>3</v>
      </c>
      <c r="G1373" s="20">
        <f t="shared" ca="1" si="185"/>
        <v>0.14019591666893022</v>
      </c>
      <c r="H1373" s="20">
        <f t="shared" ca="1" si="173"/>
        <v>0.1368031203240469</v>
      </c>
      <c r="I1373" s="20">
        <f t="shared" ca="1" si="149"/>
        <v>0.13463206421893106</v>
      </c>
      <c r="J1373" s="20">
        <f t="shared" ca="1" si="150"/>
        <v>0.13472549687889665</v>
      </c>
      <c r="K1373" s="36">
        <v>14</v>
      </c>
    </row>
    <row r="1374" spans="1:11" x14ac:dyDescent="0.25">
      <c r="A1374" s="13" t="s">
        <v>7</v>
      </c>
      <c r="B1374" s="29">
        <v>45937</v>
      </c>
      <c r="C1374" s="20">
        <v>0.12965299999999999</v>
      </c>
      <c r="D1374" s="30">
        <f t="shared" ca="1" si="183"/>
        <v>168.66438841958649</v>
      </c>
      <c r="E1374" s="31">
        <f t="shared" si="177"/>
        <v>168.66438841958649</v>
      </c>
      <c r="F1374" s="32">
        <f t="shared" si="184"/>
        <v>1</v>
      </c>
      <c r="G1374" s="20">
        <f t="shared" ca="1" si="185"/>
        <v>0.13979628476702438</v>
      </c>
      <c r="H1374" s="20">
        <f t="shared" ca="1" si="173"/>
        <v>0.13703798901424222</v>
      </c>
      <c r="I1374" s="20">
        <f t="shared" ca="1" si="149"/>
        <v>0.13480757970416252</v>
      </c>
      <c r="J1374" s="20">
        <f t="shared" ca="1" si="150"/>
        <v>0.13483347397464646</v>
      </c>
      <c r="K1374" s="36">
        <v>14</v>
      </c>
    </row>
    <row r="1375" spans="1:11" x14ac:dyDescent="0.25">
      <c r="A1375" s="13" t="s">
        <v>7</v>
      </c>
      <c r="B1375" s="29">
        <v>45938</v>
      </c>
      <c r="C1375" s="20">
        <v>0.12718699999999999</v>
      </c>
      <c r="D1375" s="30">
        <f t="shared" ref="D1375" ca="1" si="186">+IF(F1375=1,D1374*(1+C1374*F1375/365),OFFSET(D1374,-F1375+1,0)*(1+C1374*F1375/365))</f>
        <v>168.72430032082423</v>
      </c>
      <c r="E1375" s="31">
        <f t="shared" si="177"/>
        <v>168.72430032082423</v>
      </c>
      <c r="F1375" s="32">
        <f t="shared" ref="F1375" si="187">IF(A1374="Working day",1,(IF(A1373="Working day",2,(IF(A1372="Working day",3,IF(A1371="Working day",4,IF(A1370="Working day",5,IF(A1369="Working day",6,7))))))))</f>
        <v>1</v>
      </c>
      <c r="G1375" s="20">
        <f t="shared" ref="G1375" ca="1" si="188">(D1375/OFFSET(D1375,-7,0)-1)*365/7</f>
        <v>0.13829899730964934</v>
      </c>
      <c r="H1375" s="20">
        <f t="shared" ca="1" si="173"/>
        <v>0.1369854022542927</v>
      </c>
      <c r="I1375" s="20">
        <f t="shared" ca="1" si="149"/>
        <v>0.13483252948192626</v>
      </c>
      <c r="J1375" s="20">
        <f t="shared" ca="1" si="150"/>
        <v>0.13486882809470907</v>
      </c>
      <c r="K1375" s="36">
        <v>14</v>
      </c>
    </row>
    <row r="1376" spans="1:11" x14ac:dyDescent="0.25">
      <c r="A1376" s="13" t="s">
        <v>7</v>
      </c>
      <c r="B1376" s="29">
        <v>45939</v>
      </c>
      <c r="C1376" s="20">
        <v>0.13106499999999999</v>
      </c>
      <c r="D1376" s="30">
        <f t="shared" ref="D1376" ca="1" si="189">+IF(F1376=1,D1375*(1+C1375*F1376/365),OFFSET(D1375,-F1376+1,0)*(1+C1375*F1376/365))</f>
        <v>168.78309357448148</v>
      </c>
      <c r="E1376" s="31">
        <f t="shared" ref="E1376" si="190">+E1375*(1+C1375*F1376/365)</f>
        <v>168.78309357448148</v>
      </c>
      <c r="F1376" s="32">
        <f t="shared" ref="F1376" si="191">IF(A1375="Working day",1,(IF(A1374="Working day",2,(IF(A1373="Working day",3,IF(A1372="Working day",4,IF(A1371="Working day",5,IF(A1370="Working day",6,7))))))))</f>
        <v>1</v>
      </c>
      <c r="G1376" s="20">
        <f t="shared" ref="G1376" ca="1" si="192">(D1376/OFFSET(D1376,-7,0)-1)*365/7</f>
        <v>0.13645636567176403</v>
      </c>
      <c r="H1376" s="20">
        <f t="shared" ca="1" si="173"/>
        <v>0.1369091129596087</v>
      </c>
      <c r="I1376" s="20">
        <f t="shared" ca="1" si="149"/>
        <v>0.134806753385045</v>
      </c>
      <c r="J1376" s="20">
        <f t="shared" ca="1" si="150"/>
        <v>0.13488178176297871</v>
      </c>
      <c r="K1376" s="36">
        <v>14</v>
      </c>
    </row>
    <row r="1377" spans="1:11" x14ac:dyDescent="0.25">
      <c r="A1377" s="13" t="s">
        <v>7</v>
      </c>
      <c r="B1377" s="29">
        <v>45940</v>
      </c>
      <c r="C1377" s="20">
        <v>0.13405300000000001</v>
      </c>
      <c r="D1377" s="30">
        <f t="shared" ref="D1377:D1381" ca="1" si="193">+IF(F1377=1,D1376*(1+C1376*F1377/365),OFFSET(D1376,-F1377+1,0)*(1+C1376*F1377/365))</f>
        <v>168.84370057765773</v>
      </c>
      <c r="E1377" s="31">
        <f t="shared" ref="E1377:E1381" si="194">+E1376*(1+C1376*F1377/365)</f>
        <v>168.84370057765773</v>
      </c>
      <c r="F1377" s="32">
        <f t="shared" ref="F1377:F1381" si="195">IF(A1376="Working day",1,(IF(A1375="Working day",2,(IF(A1374="Working day",3,IF(A1373="Working day",4,IF(A1372="Working day",5,IF(A1371="Working day",6,7))))))))</f>
        <v>1</v>
      </c>
      <c r="G1377" s="20">
        <f t="shared" ref="G1377:G1381" ca="1" si="196">(D1377/OFFSET(D1377,-7,0)-1)*365/7</f>
        <v>0.13524781475334408</v>
      </c>
      <c r="H1377" s="20">
        <f t="shared" ca="1" si="173"/>
        <v>0.13696053376957859</v>
      </c>
      <c r="I1377" s="20">
        <f t="shared" ca="1" si="149"/>
        <v>0.13484343203676269</v>
      </c>
      <c r="J1377" s="20">
        <f t="shared" ca="1" si="150"/>
        <v>0.13491795863305486</v>
      </c>
      <c r="K1377" s="36">
        <v>14</v>
      </c>
    </row>
    <row r="1378" spans="1:11" x14ac:dyDescent="0.25">
      <c r="A1378" s="23" t="s">
        <v>6</v>
      </c>
      <c r="B1378" s="24">
        <v>45941</v>
      </c>
      <c r="C1378" s="28">
        <v>0.13405300000000001</v>
      </c>
      <c r="D1378" s="25">
        <f t="shared" ca="1" si="193"/>
        <v>168.90571154914684</v>
      </c>
      <c r="E1378" s="26">
        <f t="shared" si="194"/>
        <v>168.90571154914684</v>
      </c>
      <c r="F1378" s="27">
        <f t="shared" si="195"/>
        <v>1</v>
      </c>
      <c r="G1378" s="28">
        <f t="shared" ca="1" si="196"/>
        <v>0.1344102538308321</v>
      </c>
      <c r="H1378" s="28">
        <f t="shared" ca="1" si="173"/>
        <v>0.13708537942819599</v>
      </c>
      <c r="I1378" s="28">
        <f t="shared" ca="1" si="149"/>
        <v>0.13491491679444809</v>
      </c>
      <c r="J1378" s="28">
        <f t="shared" ca="1" si="150"/>
        <v>0.13497208783456768</v>
      </c>
      <c r="K1378" s="36">
        <v>14</v>
      </c>
    </row>
    <row r="1379" spans="1:11" x14ac:dyDescent="0.25">
      <c r="A1379" s="23" t="s">
        <v>6</v>
      </c>
      <c r="B1379" s="24">
        <v>45942</v>
      </c>
      <c r="C1379" s="28">
        <v>0.13405300000000001</v>
      </c>
      <c r="D1379" s="25">
        <f t="shared" ca="1" si="193"/>
        <v>168.96772252063602</v>
      </c>
      <c r="E1379" s="26">
        <f t="shared" si="194"/>
        <v>169.02977904147724</v>
      </c>
      <c r="F1379" s="27">
        <f t="shared" si="195"/>
        <v>2</v>
      </c>
      <c r="G1379" s="28">
        <f t="shared" ca="1" si="196"/>
        <v>0.13357333448382</v>
      </c>
      <c r="H1379" s="28">
        <f t="shared" ca="1" si="173"/>
        <v>0.13722029459090207</v>
      </c>
      <c r="I1379" s="28">
        <f t="shared" ca="1" si="149"/>
        <v>0.13498635151877936</v>
      </c>
      <c r="J1379" s="28">
        <f t="shared" ca="1" si="150"/>
        <v>0.13502542007421955</v>
      </c>
      <c r="K1379" s="36">
        <v>14</v>
      </c>
    </row>
    <row r="1380" spans="1:11" x14ac:dyDescent="0.25">
      <c r="A1380" s="13" t="s">
        <v>7</v>
      </c>
      <c r="B1380" s="29">
        <v>45943</v>
      </c>
      <c r="C1380" s="20">
        <v>0.13922100000000001</v>
      </c>
      <c r="D1380" s="30">
        <f t="shared" ca="1" si="193"/>
        <v>169.02973349212516</v>
      </c>
      <c r="E1380" s="31">
        <f>+E1377*(1+C1379*F1380/365)</f>
        <v>169.02973349212516</v>
      </c>
      <c r="F1380" s="32">
        <f t="shared" si="195"/>
        <v>3</v>
      </c>
      <c r="G1380" s="20">
        <f t="shared" ca="1" si="196"/>
        <v>0.13273705597541183</v>
      </c>
      <c r="H1380" s="20">
        <f t="shared" ca="1" si="173"/>
        <v>0.13724386917768935</v>
      </c>
      <c r="I1380" s="20">
        <f t="shared" ca="1" si="149"/>
        <v>0.13503853230727597</v>
      </c>
      <c r="J1380" s="20">
        <f t="shared" ca="1" si="150"/>
        <v>0.13507846231774853</v>
      </c>
      <c r="K1380" s="36">
        <v>14</v>
      </c>
    </row>
    <row r="1381" spans="1:11" x14ac:dyDescent="0.25">
      <c r="A1381" s="13" t="s">
        <v>7</v>
      </c>
      <c r="B1381" s="29">
        <v>45944</v>
      </c>
      <c r="C1381" s="20">
        <v>0.13936499999999999</v>
      </c>
      <c r="D1381" s="30">
        <f t="shared" ca="1" si="193"/>
        <v>169.09420606343065</v>
      </c>
      <c r="E1381" s="31">
        <f t="shared" si="194"/>
        <v>169.09420606343065</v>
      </c>
      <c r="F1381" s="32">
        <f t="shared" si="195"/>
        <v>1</v>
      </c>
      <c r="G1381" s="20">
        <f t="shared" ca="1" si="196"/>
        <v>0.13287879089622526</v>
      </c>
      <c r="H1381" s="20">
        <f t="shared" ca="1" si="173"/>
        <v>0.13744654448576774</v>
      </c>
      <c r="I1381" s="20">
        <f t="shared" ca="1" si="149"/>
        <v>0.13518022846319017</v>
      </c>
      <c r="J1381" s="20">
        <f t="shared" ca="1" si="150"/>
        <v>0.13513568362632175</v>
      </c>
      <c r="K1381" s="36">
        <v>14</v>
      </c>
    </row>
    <row r="1382" spans="1:11" x14ac:dyDescent="0.25">
      <c r="A1382" s="13" t="s">
        <v>7</v>
      </c>
      <c r="B1382" s="29">
        <v>45945</v>
      </c>
      <c r="C1382" s="20">
        <v>0.139436</v>
      </c>
      <c r="D1382" s="30">
        <f t="shared" ref="D1382" ca="1" si="197">+IF(F1382=1,D1381*(1+C1381*F1382/365),OFFSET(D1381,-F1382+1,0)*(1+C1381*F1382/365))</f>
        <v>169.15876993748003</v>
      </c>
      <c r="E1382" s="31">
        <f t="shared" ref="E1382" si="198">+E1381*(1+C1381*F1382/365)</f>
        <v>169.15876993748003</v>
      </c>
      <c r="F1382" s="32">
        <f t="shared" ref="F1382" si="199">IF(A1381="Working day",1,(IF(A1380="Working day",2,(IF(A1379="Working day",3,IF(A1378="Working day",4,IF(A1377="Working day",5,IF(A1376="Working day",6,7))))))))</f>
        <v>1</v>
      </c>
      <c r="G1382" s="20">
        <f t="shared" ref="G1382" ca="1" si="200">(D1382/OFFSET(D1382,-7,0)-1)*365/7</f>
        <v>0.13426926122151858</v>
      </c>
      <c r="H1382" s="20">
        <f t="shared" ca="1" si="173"/>
        <v>0.13765571317638578</v>
      </c>
      <c r="I1382" s="20">
        <f t="shared" ca="1" si="149"/>
        <v>0.13532229664599119</v>
      </c>
      <c r="J1382" s="20">
        <f t="shared" ca="1" si="150"/>
        <v>0.1351913129138696</v>
      </c>
      <c r="K1382" s="36">
        <v>14</v>
      </c>
    </row>
    <row r="1383" spans="1:11" x14ac:dyDescent="0.25">
      <c r="A1383" s="13" t="s">
        <v>7</v>
      </c>
      <c r="B1383" s="29">
        <v>45946</v>
      </c>
      <c r="C1383" s="20">
        <v>0.13991799999999999</v>
      </c>
      <c r="D1383" s="30">
        <f t="shared" ref="D1383" ca="1" si="201">+IF(F1383=1,D1382*(1+C1382*F1383/365),OFFSET(D1382,-F1383+1,0)*(1+C1382*F1383/365))</f>
        <v>169.22339136828825</v>
      </c>
      <c r="E1383" s="31">
        <f t="shared" ref="E1383" si="202">+E1382*(1+C1382*F1383/365)</f>
        <v>169.22339136828825</v>
      </c>
      <c r="F1383" s="32">
        <f t="shared" ref="F1383" si="203">IF(A1382="Working day",1,(IF(A1381="Working day",2,(IF(A1380="Working day",3,IF(A1379="Working day",4,IF(A1378="Working day",5,IF(A1377="Working day",6,7))))))))</f>
        <v>1</v>
      </c>
      <c r="G1383" s="20">
        <f t="shared" ref="G1383" ca="1" si="204">(D1383/OFFSET(D1383,-7,0)-1)*365/7</f>
        <v>0.13602301318555571</v>
      </c>
      <c r="H1383" s="20">
        <f t="shared" ca="1" si="173"/>
        <v>0.13780917395726233</v>
      </c>
      <c r="I1383" s="20">
        <f t="shared" ca="1" si="149"/>
        <v>0.13544337600190307</v>
      </c>
      <c r="J1383" s="20">
        <f t="shared" ca="1" si="150"/>
        <v>0.13524721020069808</v>
      </c>
      <c r="K1383" s="36">
        <v>14</v>
      </c>
    </row>
    <row r="1384" spans="1:11" x14ac:dyDescent="0.25">
      <c r="A1384" s="13" t="s">
        <v>7</v>
      </c>
      <c r="B1384" s="29">
        <v>45947</v>
      </c>
      <c r="C1384" s="20">
        <v>0.13997200000000001</v>
      </c>
      <c r="D1384" s="30">
        <f t="shared" ref="D1384:D1388" ca="1" si="205">+IF(F1384=1,D1383*(1+C1383*F1384/365),OFFSET(D1383,-F1384+1,0)*(1+C1383*F1384/365))</f>
        <v>169.28826095314705</v>
      </c>
      <c r="E1384" s="31">
        <f t="shared" ref="E1384:E1388" si="206">+E1383*(1+C1383*F1384/365)</f>
        <v>169.28826095314705</v>
      </c>
      <c r="F1384" s="32">
        <f t="shared" ref="F1384:F1388" si="207">IF(A1383="Working day",1,(IF(A1382="Working day",2,(IF(A1381="Working day",3,IF(A1380="Working day",4,IF(A1379="Working day",5,IF(A1378="Working day",6,7))))))))</f>
        <v>1</v>
      </c>
      <c r="G1384" s="20">
        <f t="shared" ref="G1384:G1388" ca="1" si="208">(D1384/OFFSET(D1384,-7,0)-1)*365/7</f>
        <v>0.13729057152389065</v>
      </c>
      <c r="H1384" s="20">
        <f t="shared" ca="1" si="173"/>
        <v>0.13794170952063661</v>
      </c>
      <c r="I1384" s="20">
        <f t="shared" ca="1" si="149"/>
        <v>0.13559455541393098</v>
      </c>
      <c r="J1384" s="20">
        <f t="shared" ca="1" si="150"/>
        <v>0.1353062384917868</v>
      </c>
      <c r="K1384" s="36">
        <v>14</v>
      </c>
    </row>
    <row r="1385" spans="1:11" x14ac:dyDescent="0.25">
      <c r="A1385" s="23" t="s">
        <v>6</v>
      </c>
      <c r="B1385" s="24">
        <v>45948</v>
      </c>
      <c r="C1385" s="28">
        <v>0.13997200000000001</v>
      </c>
      <c r="D1385" s="25">
        <f t="shared" ca="1" si="205"/>
        <v>169.35318045030357</v>
      </c>
      <c r="E1385" s="26">
        <f t="shared" si="206"/>
        <v>169.35318045030357</v>
      </c>
      <c r="F1385" s="27">
        <f t="shared" si="207"/>
        <v>1</v>
      </c>
      <c r="G1385" s="28">
        <f t="shared" ca="1" si="208"/>
        <v>0.13813805806145313</v>
      </c>
      <c r="H1385" s="28">
        <f t="shared" ca="1" si="173"/>
        <v>0.13808620966956398</v>
      </c>
      <c r="I1385" s="28">
        <f t="shared" ca="1" si="149"/>
        <v>0.13574686517783205</v>
      </c>
      <c r="J1385" s="28">
        <f t="shared" ca="1" si="150"/>
        <v>0.13536586230864781</v>
      </c>
      <c r="K1385" s="36">
        <v>14</v>
      </c>
    </row>
    <row r="1386" spans="1:11" x14ac:dyDescent="0.25">
      <c r="A1386" s="23" t="s">
        <v>6</v>
      </c>
      <c r="B1386" s="24">
        <v>45949</v>
      </c>
      <c r="C1386" s="28">
        <v>0.13997200000000001</v>
      </c>
      <c r="D1386" s="25">
        <f t="shared" ca="1" si="205"/>
        <v>169.41809994746012</v>
      </c>
      <c r="E1386" s="26">
        <f t="shared" si="206"/>
        <v>169.48306923591448</v>
      </c>
      <c r="F1386" s="27">
        <f t="shared" si="207"/>
        <v>2</v>
      </c>
      <c r="G1386" s="28">
        <f t="shared" ca="1" si="208"/>
        <v>0.13898492254571229</v>
      </c>
      <c r="H1386" s="28">
        <f t="shared" ca="1" si="173"/>
        <v>0.13820908805270815</v>
      </c>
      <c r="I1386" s="28">
        <f t="shared" ca="1" si="149"/>
        <v>0.13589906927205772</v>
      </c>
      <c r="J1386" s="28">
        <f t="shared" ca="1" si="150"/>
        <v>0.13542581840270648</v>
      </c>
      <c r="K1386" s="36">
        <v>14</v>
      </c>
    </row>
    <row r="1387" spans="1:11" x14ac:dyDescent="0.25">
      <c r="A1387" s="13" t="s">
        <v>7</v>
      </c>
      <c r="B1387" s="29">
        <v>45950</v>
      </c>
      <c r="C1387" s="20">
        <v>0.14000000000000001</v>
      </c>
      <c r="D1387" s="30">
        <f t="shared" ca="1" si="205"/>
        <v>169.48301944461662</v>
      </c>
      <c r="E1387" s="31">
        <f>+E1384*(1+C1386*F1387/365)</f>
        <v>169.48301944461662</v>
      </c>
      <c r="F1387" s="32">
        <f t="shared" si="207"/>
        <v>3</v>
      </c>
      <c r="G1387" s="20">
        <f t="shared" ca="1" si="208"/>
        <v>0.13983116566132398</v>
      </c>
      <c r="H1387" s="20">
        <f t="shared" ca="1" si="173"/>
        <v>0.13833369932746439</v>
      </c>
      <c r="I1387" s="20">
        <f t="shared" ca="1" si="149"/>
        <v>0.13603495941461846</v>
      </c>
      <c r="J1387" s="20">
        <f t="shared" ca="1" si="150"/>
        <v>0.13548426173800368</v>
      </c>
      <c r="K1387" s="36">
        <v>14</v>
      </c>
    </row>
    <row r="1388" spans="1:11" x14ac:dyDescent="0.25">
      <c r="A1388" s="13" t="s">
        <v>7</v>
      </c>
      <c r="B1388" s="29">
        <v>45951</v>
      </c>
      <c r="C1388" s="20">
        <v>0.13988200000000001</v>
      </c>
      <c r="D1388" s="30">
        <f t="shared" ca="1" si="205"/>
        <v>169.54802663015704</v>
      </c>
      <c r="E1388" s="31">
        <f t="shared" si="206"/>
        <v>169.54802663015704</v>
      </c>
      <c r="F1388" s="32">
        <f t="shared" si="207"/>
        <v>1</v>
      </c>
      <c r="G1388" s="20">
        <f t="shared" ca="1" si="208"/>
        <v>0.13994270726477537</v>
      </c>
      <c r="H1388" s="20">
        <f t="shared" ca="1" si="173"/>
        <v>0.13846458177572832</v>
      </c>
      <c r="I1388" s="20">
        <f t="shared" ca="1" si="149"/>
        <v>0.13617062743244876</v>
      </c>
      <c r="J1388" s="20">
        <f t="shared" ca="1" si="150"/>
        <v>0.13554350808970084</v>
      </c>
      <c r="K1388" s="36">
        <v>14</v>
      </c>
    </row>
    <row r="1389" spans="1:11" x14ac:dyDescent="0.25">
      <c r="A1389" s="13" t="s">
        <v>7</v>
      </c>
      <c r="B1389" s="29">
        <v>45952</v>
      </c>
      <c r="C1389" s="20">
        <v>0.13989699999999999</v>
      </c>
      <c r="D1389" s="30">
        <f t="shared" ref="D1389" ca="1" si="209">+IF(F1389=1,D1388*(1+C1388*F1389/365),OFFSET(D1388,-F1389+1,0)*(1+C1388*F1389/365))</f>
        <v>169.61300393717369</v>
      </c>
      <c r="E1389" s="31">
        <f t="shared" ref="E1389" si="210">+E1388*(1+C1388*F1389/365)</f>
        <v>169.61300393717369</v>
      </c>
      <c r="F1389" s="32">
        <f t="shared" ref="F1389" si="211">IF(A1388="Working day",1,(IF(A1387="Working day",2,(IF(A1386="Working day",3,IF(A1385="Working day",4,IF(A1384="Working day",5,IF(A1383="Working day",6,7))))))))</f>
        <v>1</v>
      </c>
      <c r="G1389" s="20">
        <f t="shared" ref="G1389" ca="1" si="212">(D1389/OFFSET(D1389,-7,0)-1)*365/7</f>
        <v>0.14001673436269044</v>
      </c>
      <c r="H1389" s="20">
        <f t="shared" ca="1" si="173"/>
        <v>0.1385931990209914</v>
      </c>
      <c r="I1389" s="20">
        <f t="shared" ca="1" si="149"/>
        <v>0.13630757422391179</v>
      </c>
      <c r="J1389" s="20">
        <f t="shared" ca="1" si="150"/>
        <v>0.13560591409230363</v>
      </c>
      <c r="K1389" s="36">
        <v>14</v>
      </c>
    </row>
    <row r="1390" spans="1:11" x14ac:dyDescent="0.25">
      <c r="A1390" s="13" t="s">
        <v>7</v>
      </c>
      <c r="B1390" s="29">
        <v>45953</v>
      </c>
      <c r="C1390" s="20">
        <v>0.14000000000000001</v>
      </c>
      <c r="D1390" s="30">
        <f t="shared" ref="D1390:D1395" ca="1" si="213">+IF(F1390=1,D1389*(1+C1389*F1390/365),OFFSET(D1389,-F1390+1,0)*(1+C1389*F1390/365))</f>
        <v>169.67801311638411</v>
      </c>
      <c r="E1390" s="31">
        <f t="shared" ref="E1390:E1395" si="214">+E1389*(1+C1389*F1390/365)</f>
        <v>169.67801311638411</v>
      </c>
      <c r="F1390" s="32">
        <f t="shared" ref="F1390:F1395" si="215">IF(A1389="Working day",1,(IF(A1388="Working day",2,(IF(A1387="Working day",3,IF(A1386="Working day",4,IF(A1385="Working day",5,IF(A1384="Working day",6,7))))))))</f>
        <v>1</v>
      </c>
      <c r="G1390" s="20">
        <f t="shared" ref="G1390:G1395" ca="1" si="216">(D1390/OFFSET(D1390,-7,0)-1)*365/7</f>
        <v>0.14008274313216859</v>
      </c>
      <c r="H1390" s="20">
        <f t="shared" ca="1" si="173"/>
        <v>0.13873369644275982</v>
      </c>
      <c r="I1390" s="20">
        <f t="shared" ca="1" si="149"/>
        <v>0.13642411253145026</v>
      </c>
      <c r="J1390" s="20">
        <f t="shared" ca="1" si="150"/>
        <v>0.1356645535040161</v>
      </c>
      <c r="K1390" s="36">
        <v>14</v>
      </c>
    </row>
    <row r="1391" spans="1:11" x14ac:dyDescent="0.25">
      <c r="A1391" s="13" t="s">
        <v>7</v>
      </c>
      <c r="B1391" s="29">
        <v>45954</v>
      </c>
      <c r="C1391" s="20">
        <v>0.13938800000000001</v>
      </c>
      <c r="D1391" s="30">
        <f t="shared" ca="1" si="213"/>
        <v>169.7430950940178</v>
      </c>
      <c r="E1391" s="31">
        <f t="shared" si="214"/>
        <v>169.7430950940178</v>
      </c>
      <c r="F1391" s="32">
        <f t="shared" si="215"/>
        <v>1</v>
      </c>
      <c r="G1391" s="20">
        <f t="shared" ca="1" si="216"/>
        <v>0.14009448438768249</v>
      </c>
      <c r="H1391" s="20">
        <f t="shared" ca="1" si="173"/>
        <v>0.13884507760153664</v>
      </c>
      <c r="I1391" s="20">
        <f t="shared" ca="1" si="149"/>
        <v>0.13653892039900684</v>
      </c>
      <c r="J1391" s="20">
        <f t="shared" ca="1" si="150"/>
        <v>0.13572407904491121</v>
      </c>
      <c r="K1391" s="36">
        <v>14</v>
      </c>
    </row>
    <row r="1392" spans="1:11" x14ac:dyDescent="0.25">
      <c r="A1392" s="23" t="s">
        <v>6</v>
      </c>
      <c r="B1392" s="24">
        <v>45955</v>
      </c>
      <c r="C1392" s="28">
        <v>0.13938800000000001</v>
      </c>
      <c r="D1392" s="25">
        <f t="shared" ca="1" si="213"/>
        <v>169.80791742426155</v>
      </c>
      <c r="E1392" s="26">
        <f t="shared" si="214"/>
        <v>169.80791742426155</v>
      </c>
      <c r="F1392" s="27">
        <f t="shared" si="215"/>
        <v>1</v>
      </c>
      <c r="G1392" s="28">
        <f t="shared" ca="1" si="216"/>
        <v>0.14001086373234004</v>
      </c>
      <c r="H1392" s="28">
        <f t="shared" ca="1" si="173"/>
        <v>0.13885313211257658</v>
      </c>
      <c r="I1392" s="28">
        <f t="shared" ca="1" si="149"/>
        <v>0.13664723639211573</v>
      </c>
      <c r="J1392" s="28">
        <f t="shared" ca="1" si="150"/>
        <v>0.13578025400785221</v>
      </c>
      <c r="K1392" s="36">
        <v>14</v>
      </c>
    </row>
    <row r="1393" spans="1:11" x14ac:dyDescent="0.25">
      <c r="A1393" s="23" t="s">
        <v>6</v>
      </c>
      <c r="B1393" s="24">
        <v>45956</v>
      </c>
      <c r="C1393" s="28">
        <v>0.13938800000000001</v>
      </c>
      <c r="D1393" s="25">
        <f t="shared" ca="1" si="213"/>
        <v>169.87273975450526</v>
      </c>
      <c r="E1393" s="26">
        <f t="shared" si="214"/>
        <v>169.93761159409129</v>
      </c>
      <c r="F1393" s="27">
        <f t="shared" si="215"/>
        <v>2</v>
      </c>
      <c r="G1393" s="28">
        <f t="shared" ca="1" si="216"/>
        <v>0.13992730716235272</v>
      </c>
      <c r="H1393" s="28">
        <f t="shared" ca="1" si="173"/>
        <v>0.13889845290138861</v>
      </c>
      <c r="I1393" s="28">
        <f t="shared" ca="1" si="149"/>
        <v>0.13675547531097795</v>
      </c>
      <c r="J1393" s="28">
        <f t="shared" ca="1" si="150"/>
        <v>0.1358355668010745</v>
      </c>
      <c r="K1393" s="36">
        <v>14</v>
      </c>
    </row>
    <row r="1394" spans="1:11" x14ac:dyDescent="0.25">
      <c r="A1394" s="13" t="s">
        <v>7</v>
      </c>
      <c r="B1394" s="29">
        <v>45957</v>
      </c>
      <c r="C1394" s="20">
        <v>0.13939099999999999</v>
      </c>
      <c r="D1394" s="30">
        <f t="shared" ca="1" si="213"/>
        <v>169.93756208474903</v>
      </c>
      <c r="E1394" s="31">
        <f>+E1391*(1+C1393*F1394/365)</f>
        <v>169.93756208474903</v>
      </c>
      <c r="F1394" s="32">
        <f t="shared" si="215"/>
        <v>3</v>
      </c>
      <c r="G1394" s="20">
        <f t="shared" ca="1" si="216"/>
        <v>0.13984381460413048</v>
      </c>
      <c r="H1394" s="20">
        <f t="shared" ca="1" si="173"/>
        <v>0.13887754553019638</v>
      </c>
      <c r="I1394" s="20">
        <f t="shared" ca="1" si="149"/>
        <v>0.13686748651297864</v>
      </c>
      <c r="J1394" s="20">
        <f t="shared" ca="1" si="150"/>
        <v>0.13589056594885476</v>
      </c>
      <c r="K1394" s="36">
        <v>14</v>
      </c>
    </row>
    <row r="1395" spans="1:11" x14ac:dyDescent="0.25">
      <c r="A1395" s="13" t="s">
        <v>7</v>
      </c>
      <c r="B1395" s="29">
        <v>45958</v>
      </c>
      <c r="C1395" s="20">
        <v>0.138791</v>
      </c>
      <c r="D1395" s="30">
        <f t="shared" ca="1" si="213"/>
        <v>170.00246007575331</v>
      </c>
      <c r="E1395" s="31">
        <f t="shared" si="214"/>
        <v>170.00246007575331</v>
      </c>
      <c r="F1395" s="32">
        <f t="shared" si="215"/>
        <v>1</v>
      </c>
      <c r="G1395" s="20">
        <f t="shared" ca="1" si="216"/>
        <v>0.13975661472220863</v>
      </c>
      <c r="H1395" s="20">
        <f t="shared" ca="1" si="173"/>
        <v>0.13886213083399493</v>
      </c>
      <c r="I1395" s="20">
        <f t="shared" ca="1" si="149"/>
        <v>0.13698296924576625</v>
      </c>
      <c r="J1395" s="20">
        <f t="shared" ca="1" si="150"/>
        <v>0.13592818228325509</v>
      </c>
      <c r="K1395" s="36">
        <v>14</v>
      </c>
    </row>
    <row r="1396" spans="1:11" x14ac:dyDescent="0.25">
      <c r="A1396" s="13" t="s">
        <v>7</v>
      </c>
      <c r="B1396" s="29">
        <v>45959</v>
      </c>
      <c r="C1396" s="20">
        <v>0.13946500000000001</v>
      </c>
      <c r="D1396" s="30">
        <f t="shared" ref="D1396" ca="1" si="217">+IF(F1396=1,D1395*(1+C1395*F1396/365),OFFSET(D1395,-F1396+1,0)*(1+C1395*F1396/365))</f>
        <v>170.06710339475705</v>
      </c>
      <c r="E1396" s="31">
        <f t="shared" ref="E1396" si="218">+E1395*(1+C1395*F1396/365)</f>
        <v>170.06710339475705</v>
      </c>
      <c r="F1396" s="32">
        <f t="shared" ref="F1396" si="219">IF(A1395="Working day",1,(IF(A1394="Working day",2,(IF(A1393="Working day",3,IF(A1392="Working day",4,IF(A1391="Working day",5,IF(A1390="Working day",6,7))))))))</f>
        <v>1</v>
      </c>
      <c r="G1396" s="20">
        <f t="shared" ref="G1396" ca="1" si="220">(D1396/OFFSET(D1396,-7,0)-1)*365/7</f>
        <v>0.13960039970866905</v>
      </c>
      <c r="H1396" s="20">
        <f t="shared" ca="1" si="173"/>
        <v>0.13882830071449737</v>
      </c>
      <c r="I1396" s="20">
        <f t="shared" ca="1" si="149"/>
        <v>0.13708683836082652</v>
      </c>
      <c r="J1396" s="20">
        <f t="shared" ca="1" si="150"/>
        <v>0.13599054623472492</v>
      </c>
      <c r="K1396" s="36">
        <v>14</v>
      </c>
    </row>
    <row r="1397" spans="1:11" x14ac:dyDescent="0.25">
      <c r="A1397" s="13" t="s">
        <v>7</v>
      </c>
      <c r="B1397" s="29">
        <v>45960</v>
      </c>
      <c r="C1397" s="20">
        <v>0.13891400000000001</v>
      </c>
      <c r="D1397" s="30">
        <f ca="1">+IF(F1397=1,D1396*(1+C1396*F1397/365),OFFSET(D1396,-F1397+1,0)*(1+C1396*F1397/365))</f>
        <v>170.13208533605831</v>
      </c>
      <c r="E1397" s="31">
        <f>+E1396*(1+C1396*F1397/365)</f>
        <v>170.13208533605831</v>
      </c>
      <c r="F1397" s="32">
        <f>IF(A1396="Working day",1,(IF(A1395="Working day",2,(IF(A1394="Working day",3,IF(A1393="Working day",4,IF(A1392="Working day",5,IF(A1391="Working day",6,7))))))))</f>
        <v>1</v>
      </c>
      <c r="G1397" s="20">
        <f ca="1">(D1397/OFFSET(D1397,-7,0)-1)*365/7</f>
        <v>0.13953854390534789</v>
      </c>
      <c r="H1397" s="20">
        <f ca="1">($D1397/OFFSET($D1397,-30,0)-1)*365/30</f>
        <v>0.13877582878034581</v>
      </c>
      <c r="I1397" s="20">
        <f ca="1">($D1397/OFFSET($D1397,-90,0)-1)*365/90</f>
        <v>0.13719552118682996</v>
      </c>
      <c r="J1397" s="20">
        <f ca="1">($D1397/OFFSET($D1397,-180,0)-1)*365/180</f>
        <v>0.13609158700463939</v>
      </c>
      <c r="K1397" s="36">
        <v>14</v>
      </c>
    </row>
    <row r="1398" spans="1:11" x14ac:dyDescent="0.25">
      <c r="A1398" s="13" t="s">
        <v>7</v>
      </c>
      <c r="B1398" s="29">
        <v>45961</v>
      </c>
      <c r="C1398" s="20">
        <v>0.13833399999999998</v>
      </c>
      <c r="D1398" s="30">
        <f ca="1">+IF(F1398=1,D1397*(1+C1397*F1398/365),OFFSET(D1397,-F1398+1,0)*(1+C1397*F1398/365))</f>
        <v>170.19683527716072</v>
      </c>
      <c r="E1398" s="31">
        <f>+E1397*(1+C1397*F1398/365)</f>
        <v>170.19683527716072</v>
      </c>
      <c r="F1398" s="32">
        <f>IF(A1397="Working day",1,(IF(A1396="Working day",2,(IF(A1395="Working day",3,IF(A1394="Working day",4,IF(A1393="Working day",5,IF(A1392="Working day",6,7))))))))</f>
        <v>1</v>
      </c>
      <c r="G1398" s="20">
        <f ca="1">(D1398/OFFSET(D1398,-7,0)-1)*365/7</f>
        <v>0.13938304551646527</v>
      </c>
      <c r="H1398" s="20">
        <f ca="1">($D1398/OFFSET($D1398,-30,0)-1)*365/30</f>
        <v>0.13873552285716304</v>
      </c>
      <c r="I1398" s="20">
        <f ca="1">($D1398/OFFSET($D1398,-90,0)-1)*365/90</f>
        <v>0.13730324240435976</v>
      </c>
      <c r="J1398" s="20">
        <f ca="1">($D1398/OFFSET($D1398,-180,0)-1)*365/180</f>
        <v>0.13618961027900253</v>
      </c>
      <c r="K1398" s="36">
        <v>14</v>
      </c>
    </row>
    <row r="1399" spans="1:11" x14ac:dyDescent="0.25">
      <c r="A1399" s="23" t="s">
        <v>6</v>
      </c>
      <c r="B1399" s="24">
        <v>45962</v>
      </c>
      <c r="C1399" s="28">
        <v>0.13833399999999998</v>
      </c>
      <c r="D1399" s="25">
        <f t="shared" ref="D1399:D1402" ca="1" si="221">+IF(F1399=1,D1398*(1+C1398*F1399/365),OFFSET(D1398,-F1399+1,0)*(1+C1398*F1399/365))</f>
        <v>170.26133941143806</v>
      </c>
      <c r="E1399" s="26">
        <f t="shared" ref="E1399:E1400" si="222">+E1398*(1+C1398*F1399/365)</f>
        <v>170.26133941143806</v>
      </c>
      <c r="F1399" s="27">
        <f t="shared" ref="F1399:F1402" si="223">IF(A1398="Working day",1,(IF(A1397="Working day",2,(IF(A1396="Working day",3,IF(A1395="Working day",4,IF(A1394="Working day",5,IF(A1393="Working day",6,7))))))))</f>
        <v>1</v>
      </c>
      <c r="G1399" s="28">
        <f t="shared" ref="G1399:G1402" ca="1" si="224">(D1399/OFFSET(D1399,-7,0)-1)*365/7</f>
        <v>0.1392321292281348</v>
      </c>
      <c r="H1399" s="28">
        <f t="shared" ref="H1399:H1416" ca="1" si="225">($D1399/OFFSET($D1399,-30,0)-1)*365/30</f>
        <v>0.13867748259054216</v>
      </c>
      <c r="I1399" s="28">
        <f t="shared" ref="I1399:I1416" ca="1" si="226">($D1399/OFFSET($D1399,-90,0)-1)*365/90</f>
        <v>0.13740483382889471</v>
      </c>
      <c r="J1399" s="28">
        <f t="shared" ref="J1399:J1416" ca="1" si="227">($D1399/OFFSET($D1399,-180,0)-1)*365/180</f>
        <v>0.136284443605308</v>
      </c>
      <c r="K1399" s="36">
        <v>14</v>
      </c>
    </row>
    <row r="1400" spans="1:11" x14ac:dyDescent="0.25">
      <c r="A1400" s="23" t="s">
        <v>6</v>
      </c>
      <c r="B1400" s="24">
        <v>45963</v>
      </c>
      <c r="C1400" s="28">
        <v>0.13833399999999998</v>
      </c>
      <c r="D1400" s="25">
        <f t="shared" ca="1" si="221"/>
        <v>170.32584354571543</v>
      </c>
      <c r="E1400" s="26">
        <f t="shared" si="222"/>
        <v>170.3903965737731</v>
      </c>
      <c r="F1400" s="27">
        <f t="shared" si="223"/>
        <v>2</v>
      </c>
      <c r="G1400" s="28">
        <f t="shared" ca="1" si="224"/>
        <v>0.13908132811716323</v>
      </c>
      <c r="H1400" s="28">
        <f t="shared" ca="1" si="225"/>
        <v>0.13863621955050398</v>
      </c>
      <c r="I1400" s="28">
        <f t="shared" ca="1" si="226"/>
        <v>0.1375063532235854</v>
      </c>
      <c r="J1400" s="28">
        <f t="shared" ca="1" si="227"/>
        <v>0.13636776183243754</v>
      </c>
      <c r="K1400" s="36">
        <v>14</v>
      </c>
    </row>
    <row r="1401" spans="1:11" x14ac:dyDescent="0.25">
      <c r="A1401" s="13" t="s">
        <v>7</v>
      </c>
      <c r="B1401" s="29">
        <v>45964</v>
      </c>
      <c r="C1401" s="20">
        <v>0.139935</v>
      </c>
      <c r="D1401" s="30">
        <f t="shared" ca="1" si="221"/>
        <v>170.39034767999274</v>
      </c>
      <c r="E1401" s="31">
        <f>+E1398*(1+C1400*F1401/365)</f>
        <v>170.39034767999274</v>
      </c>
      <c r="F1401" s="32">
        <f t="shared" si="223"/>
        <v>3</v>
      </c>
      <c r="G1401" s="20">
        <f t="shared" ca="1" si="224"/>
        <v>0.13893064205171143</v>
      </c>
      <c r="H1401" s="20">
        <f t="shared" ca="1" si="225"/>
        <v>0.13857981286172044</v>
      </c>
      <c r="I1401" s="20">
        <f t="shared" ca="1" si="226"/>
        <v>0.13761645091238475</v>
      </c>
      <c r="J1401" s="20">
        <f t="shared" ca="1" si="227"/>
        <v>0.13645783239842676</v>
      </c>
      <c r="K1401" s="36">
        <v>14</v>
      </c>
    </row>
    <row r="1402" spans="1:11" x14ac:dyDescent="0.25">
      <c r="A1402" s="13" t="s">
        <v>7</v>
      </c>
      <c r="B1402" s="29">
        <v>45965</v>
      </c>
      <c r="C1402" s="20">
        <v>0.13993700000000001</v>
      </c>
      <c r="D1402" s="30">
        <f t="shared" ca="1" si="221"/>
        <v>170.45567253835603</v>
      </c>
      <c r="E1402" s="31">
        <f t="shared" ref="E1402" si="228">+E1401*(1+C1401*F1402/365)</f>
        <v>170.45567253835603</v>
      </c>
      <c r="F1402" s="32">
        <f t="shared" si="223"/>
        <v>1</v>
      </c>
      <c r="G1402" s="20">
        <f t="shared" ca="1" si="224"/>
        <v>0.13900853365489993</v>
      </c>
      <c r="H1402" s="20">
        <f t="shared" ca="1" si="225"/>
        <v>0.13858269771423781</v>
      </c>
      <c r="I1402" s="20">
        <f t="shared" ca="1" si="226"/>
        <v>0.13776916724609439</v>
      </c>
      <c r="J1402" s="20">
        <f t="shared" ca="1" si="227"/>
        <v>0.13654635785912658</v>
      </c>
      <c r="K1402" s="36">
        <v>14</v>
      </c>
    </row>
    <row r="1403" spans="1:11" x14ac:dyDescent="0.25">
      <c r="A1403" s="13" t="s">
        <v>7</v>
      </c>
      <c r="B1403" s="29">
        <v>45966</v>
      </c>
      <c r="C1403" s="20">
        <v>0.13996400000000001</v>
      </c>
      <c r="D1403" s="30">
        <f t="shared" ref="D1403" ca="1" si="229">+IF(F1403=1,D1402*(1+C1402*F1403/365),OFFSET(D1402,-F1403+1,0)*(1+C1402*F1403/365))</f>
        <v>170.52102337519986</v>
      </c>
      <c r="E1403" s="31">
        <f t="shared" ref="E1403" si="230">+E1402*(1+C1402*F1403/365)</f>
        <v>170.52102337519986</v>
      </c>
      <c r="F1403" s="32">
        <f t="shared" ref="F1403" si="231">IF(A1402="Working day",1,(IF(A1401="Working day",2,(IF(A1400="Working day",3,IF(A1399="Working day",4,IF(A1398="Working day",5,IF(A1397="Working day",6,7))))))))</f>
        <v>1</v>
      </c>
      <c r="G1403" s="20">
        <f t="shared" ref="G1403" ca="1" si="232">(D1403/OFFSET(D1403,-7,0)-1)*365/7</f>
        <v>0.13917262199484509</v>
      </c>
      <c r="H1403" s="20">
        <f t="shared" ca="1" si="225"/>
        <v>0.1385874550345863</v>
      </c>
      <c r="I1403" s="20">
        <f t="shared" ca="1" si="226"/>
        <v>0.13792837817287171</v>
      </c>
      <c r="J1403" s="20">
        <f t="shared" ca="1" si="227"/>
        <v>0.13663073744101301</v>
      </c>
      <c r="K1403" s="36">
        <v>14</v>
      </c>
    </row>
    <row r="1404" spans="1:11" x14ac:dyDescent="0.25">
      <c r="A1404" s="13" t="s">
        <v>7</v>
      </c>
      <c r="B1404" s="29">
        <v>45967</v>
      </c>
      <c r="C1404" s="20">
        <v>0.14000000000000001</v>
      </c>
      <c r="D1404" s="30">
        <f t="shared" ref="D1404" ca="1" si="233">+IF(F1404=1,D1403*(1+C1403*F1404/365),OFFSET(D1403,-F1404+1,0)*(1+C1403*F1404/365))</f>
        <v>170.5864118807223</v>
      </c>
      <c r="E1404" s="31">
        <f t="shared" ref="E1404" si="234">+E1403*(1+C1403*F1404/365)</f>
        <v>170.5864118807223</v>
      </c>
      <c r="F1404" s="32">
        <f t="shared" ref="F1404" si="235">IF(A1403="Working day",1,(IF(A1402="Working day",2,(IF(A1401="Working day",3,IF(A1400="Working day",4,IF(A1399="Working day",5,IF(A1398="Working day",6,7))))))))</f>
        <v>1</v>
      </c>
      <c r="G1404" s="20">
        <f t="shared" ref="G1404" ca="1" si="236">(D1404/OFFSET(D1404,-7,0)-1)*365/7</f>
        <v>0.13924407067501327</v>
      </c>
      <c r="H1404" s="20">
        <f t="shared" ca="1" si="225"/>
        <v>0.13864585758896686</v>
      </c>
      <c r="I1404" s="20">
        <f t="shared" ca="1" si="226"/>
        <v>0.13807486927585275</v>
      </c>
      <c r="J1404" s="20">
        <f t="shared" ca="1" si="227"/>
        <v>0.13671553690480906</v>
      </c>
      <c r="K1404" s="36">
        <v>14</v>
      </c>
    </row>
    <row r="1405" spans="1:11" x14ac:dyDescent="0.25">
      <c r="A1405" s="13" t="s">
        <v>7</v>
      </c>
      <c r="B1405" s="29">
        <v>45968</v>
      </c>
      <c r="C1405" s="20">
        <v>0.14000000000000001</v>
      </c>
      <c r="D1405" s="30">
        <f t="shared" ref="D1405:D1409" ca="1" si="237">+IF(F1405=1,D1404*(1+C1404*F1405/365),OFFSET(D1404,-F1405+1,0)*(1+C1404*F1405/365))</f>
        <v>170.65184228527929</v>
      </c>
      <c r="E1405" s="31">
        <f t="shared" ref="E1405:E1407" si="238">+E1404*(1+C1404*F1405/365)</f>
        <v>170.65184228527929</v>
      </c>
      <c r="F1405" s="32">
        <f t="shared" ref="F1405:F1409" si="239">IF(A1404="Working day",1,(IF(A1403="Working day",2,(IF(A1402="Working day",3,IF(A1401="Working day",4,IF(A1400="Working day",5,IF(A1399="Working day",6,7))))))))</f>
        <v>1</v>
      </c>
      <c r="G1405" s="20">
        <f t="shared" ref="G1405:G1409" ca="1" si="240">(D1405/OFFSET(D1405,-7,0)-1)*365/7</f>
        <v>0.13939956865054828</v>
      </c>
      <c r="H1405" s="20">
        <f t="shared" ca="1" si="225"/>
        <v>0.13899456404882723</v>
      </c>
      <c r="I1405" s="20">
        <f t="shared" ca="1" si="226"/>
        <v>0.13821737991446592</v>
      </c>
      <c r="J1405" s="20">
        <f t="shared" ca="1" si="227"/>
        <v>0.1368008094757483</v>
      </c>
      <c r="K1405" s="36">
        <v>14</v>
      </c>
    </row>
    <row r="1406" spans="1:11" x14ac:dyDescent="0.25">
      <c r="A1406" s="23" t="s">
        <v>6</v>
      </c>
      <c r="B1406" s="24">
        <v>45969</v>
      </c>
      <c r="C1406" s="28">
        <v>0.14000000000000001</v>
      </c>
      <c r="D1406" s="25">
        <f t="shared" ca="1" si="237"/>
        <v>170.71729778642981</v>
      </c>
      <c r="E1406" s="26">
        <f t="shared" si="238"/>
        <v>170.71729778642981</v>
      </c>
      <c r="F1406" s="27">
        <f t="shared" si="239"/>
        <v>1</v>
      </c>
      <c r="G1406" s="28">
        <f t="shared" ca="1" si="240"/>
        <v>0.13963811451542241</v>
      </c>
      <c r="H1406" s="28">
        <f t="shared" ca="1" si="225"/>
        <v>0.1394263928552372</v>
      </c>
      <c r="I1406" s="28">
        <f t="shared" ca="1" si="226"/>
        <v>0.13836040752253659</v>
      </c>
      <c r="J1406" s="28">
        <f t="shared" ca="1" si="227"/>
        <v>0.13688634161382451</v>
      </c>
      <c r="K1406" s="36">
        <v>14</v>
      </c>
    </row>
    <row r="1407" spans="1:11" x14ac:dyDescent="0.25">
      <c r="A1407" s="23" t="s">
        <v>6</v>
      </c>
      <c r="B1407" s="24">
        <v>45970</v>
      </c>
      <c r="C1407" s="28">
        <v>0.14000000000000001</v>
      </c>
      <c r="D1407" s="25">
        <f t="shared" ca="1" si="237"/>
        <v>170.78275328758031</v>
      </c>
      <c r="E1407" s="26">
        <f t="shared" si="238"/>
        <v>170.84825900117008</v>
      </c>
      <c r="F1407" s="27">
        <f t="shared" si="239"/>
        <v>2</v>
      </c>
      <c r="G1407" s="28">
        <f t="shared" ca="1" si="240"/>
        <v>0.13987647970077771</v>
      </c>
      <c r="H1407" s="28">
        <f t="shared" ca="1" si="225"/>
        <v>0.13972572201397543</v>
      </c>
      <c r="I1407" s="28">
        <f t="shared" ca="1" si="226"/>
        <v>0.13850333523986397</v>
      </c>
      <c r="J1407" s="28">
        <f t="shared" ca="1" si="227"/>
        <v>0.13695483549702608</v>
      </c>
      <c r="K1407" s="36">
        <v>14</v>
      </c>
    </row>
    <row r="1408" spans="1:11" x14ac:dyDescent="0.25">
      <c r="A1408" s="13" t="s">
        <v>7</v>
      </c>
      <c r="B1408" s="29">
        <v>45971</v>
      </c>
      <c r="C1408" s="20">
        <v>0.14000000000000001</v>
      </c>
      <c r="D1408" s="30">
        <f t="shared" ca="1" si="237"/>
        <v>170.84820878873083</v>
      </c>
      <c r="E1408" s="31">
        <f>+E1405*(1+C1407*F1408/365)</f>
        <v>170.84820878873083</v>
      </c>
      <c r="F1408" s="32">
        <f t="shared" si="239"/>
        <v>3</v>
      </c>
      <c r="G1408" s="20">
        <f t="shared" ca="1" si="240"/>
        <v>0.14011466441184656</v>
      </c>
      <c r="H1408" s="20">
        <f t="shared" ca="1" si="225"/>
        <v>0.13992254138819862</v>
      </c>
      <c r="I1408" s="20">
        <f t="shared" ca="1" si="226"/>
        <v>0.13864480006391555</v>
      </c>
      <c r="J1408" s="20">
        <f t="shared" ca="1" si="227"/>
        <v>0.13701962816840982</v>
      </c>
      <c r="K1408" s="36">
        <v>14</v>
      </c>
    </row>
    <row r="1409" spans="1:11" x14ac:dyDescent="0.25">
      <c r="A1409" s="13" t="s">
        <v>7</v>
      </c>
      <c r="B1409" s="29">
        <v>45972</v>
      </c>
      <c r="C1409" s="20">
        <v>0.13986599999999999</v>
      </c>
      <c r="D1409" s="30">
        <f t="shared" ca="1" si="237"/>
        <v>170.91373960854023</v>
      </c>
      <c r="E1409" s="31">
        <f t="shared" ref="E1409" si="241">+E1408*(1+C1408*F1409/365)</f>
        <v>170.91373960854023</v>
      </c>
      <c r="F1409" s="32">
        <f t="shared" si="239"/>
        <v>1</v>
      </c>
      <c r="G1409" s="20">
        <f t="shared" ca="1" si="240"/>
        <v>0.14012397150987455</v>
      </c>
      <c r="H1409" s="20">
        <f t="shared" ca="1" si="225"/>
        <v>0.14012463968244776</v>
      </c>
      <c r="I1409" s="20">
        <f t="shared" ca="1" si="226"/>
        <v>0.13878525086372001</v>
      </c>
      <c r="J1409" s="20">
        <f t="shared" ca="1" si="227"/>
        <v>0.13708170320474083</v>
      </c>
      <c r="K1409" s="36">
        <v>14</v>
      </c>
    </row>
    <row r="1410" spans="1:11" x14ac:dyDescent="0.25">
      <c r="A1410" s="13" t="s">
        <v>7</v>
      </c>
      <c r="B1410" s="29">
        <v>45973</v>
      </c>
      <c r="C1410" s="20">
        <v>0.13997200000000001</v>
      </c>
      <c r="D1410" s="30">
        <f t="shared" ref="D1410" ca="1" si="242">+IF(F1410=1,D1409*(1+C1409*F1410/365),OFFSET(D1409,-F1410+1,0)*(1+C1409*F1410/365))</f>
        <v>170.97923281704456</v>
      </c>
      <c r="E1410" s="31">
        <f t="shared" ref="E1410" si="243">+E1409*(1+C1409*F1410/365)</f>
        <v>170.97923281704456</v>
      </c>
      <c r="F1410" s="32">
        <f t="shared" ref="F1410" si="244">IF(A1409="Working day",1,(IF(A1408="Working day",2,(IF(A1407="Working day",3,IF(A1406="Working day",4,IF(A1405="Working day",5,IF(A1404="Working day",6,7))))))))</f>
        <v>1</v>
      </c>
      <c r="G1410" s="20">
        <f t="shared" ref="G1410" ca="1" si="245">(D1410/OFFSET(D1410,-7,0)-1)*365/7</f>
        <v>0.14011380529335546</v>
      </c>
      <c r="H1410" s="20">
        <f t="shared" ca="1" si="225"/>
        <v>0.14032388245048719</v>
      </c>
      <c r="I1410" s="20">
        <f t="shared" ca="1" si="226"/>
        <v>0.1389265335337791</v>
      </c>
      <c r="J1410" s="20">
        <f t="shared" ca="1" si="227"/>
        <v>0.13714037076496802</v>
      </c>
      <c r="K1410" s="36">
        <v>14</v>
      </c>
    </row>
    <row r="1411" spans="1:11" x14ac:dyDescent="0.25">
      <c r="A1411" s="13" t="s">
        <v>7</v>
      </c>
      <c r="B1411" s="29">
        <v>45974</v>
      </c>
      <c r="C1411" s="20">
        <v>0.14000000000000001</v>
      </c>
      <c r="D1411" s="30">
        <f t="shared" ref="D1411" ca="1" si="246">+IF(F1411=1,D1410*(1+C1410*F1411/365),OFFSET(D1410,-F1411+1,0)*(1+C1410*F1411/365))</f>
        <v>171.04480077643049</v>
      </c>
      <c r="E1411" s="31">
        <f t="shared" ref="E1411" si="247">+E1410*(1+C1410*F1411/365)</f>
        <v>171.04480077643049</v>
      </c>
      <c r="F1411" s="32">
        <f t="shared" ref="F1411" si="248">IF(A1410="Working day",1,(IF(A1409="Working day",2,(IF(A1408="Working day",3,IF(A1407="Working day",4,IF(A1406="Working day",5,IF(A1405="Working day",6,7))))))))</f>
        <v>1</v>
      </c>
      <c r="G1411" s="20">
        <f t="shared" ref="G1411" ca="1" si="249">(D1411/OFFSET(D1411,-7,0)-1)*365/7</f>
        <v>0.14011495078223396</v>
      </c>
      <c r="H1411" s="20">
        <f t="shared" ca="1" si="225"/>
        <v>0.14034919485017072</v>
      </c>
      <c r="I1411" s="20">
        <f t="shared" ca="1" si="226"/>
        <v>0.13906174372548172</v>
      </c>
      <c r="J1411" s="20">
        <f t="shared" ca="1" si="227"/>
        <v>0.13719949645657695</v>
      </c>
      <c r="K1411" s="36">
        <v>14</v>
      </c>
    </row>
    <row r="1412" spans="1:11" x14ac:dyDescent="0.25">
      <c r="A1412" s="13" t="s">
        <v>7</v>
      </c>
      <c r="B1412" s="29">
        <v>45975</v>
      </c>
      <c r="C1412" s="20">
        <v>0.14000000000000001</v>
      </c>
      <c r="D1412" s="30">
        <f t="shared" ref="D1412:D1416" ca="1" si="250">+IF(F1412=1,D1411*(1+C1411*F1412/365),OFFSET(D1411,-F1412+1,0)*(1+C1411*F1412/365))</f>
        <v>171.11040700138585</v>
      </c>
      <c r="E1412" s="31">
        <f t="shared" ref="E1412:E1414" si="251">+E1411*(1+C1411*F1412/365)</f>
        <v>171.11040700138585</v>
      </c>
      <c r="F1412" s="32">
        <f t="shared" ref="F1412:F1416" si="252">IF(A1411="Working day",1,(IF(A1410="Working day",2,(IF(A1409="Working day",3,IF(A1408="Working day",4,IF(A1407="Working day",5,IF(A1406="Working day",6,7))))))))</f>
        <v>1</v>
      </c>
      <c r="G1412" s="20">
        <f t="shared" ref="G1412:G1416" ca="1" si="253">(D1412/OFFSET(D1412,-7,0)-1)*365/7</f>
        <v>0.14011495078223396</v>
      </c>
      <c r="H1412" s="20">
        <f t="shared" ca="1" si="225"/>
        <v>0.14037059751398223</v>
      </c>
      <c r="I1412" s="20">
        <f t="shared" ca="1" si="226"/>
        <v>0.13919960060742878</v>
      </c>
      <c r="J1412" s="20">
        <f t="shared" ca="1" si="227"/>
        <v>0.13725906423031031</v>
      </c>
      <c r="K1412" s="36">
        <v>14</v>
      </c>
    </row>
    <row r="1413" spans="1:11" x14ac:dyDescent="0.25">
      <c r="A1413" s="23" t="s">
        <v>6</v>
      </c>
      <c r="B1413" s="24">
        <v>45976</v>
      </c>
      <c r="C1413" s="28">
        <v>0.14000000000000001</v>
      </c>
      <c r="D1413" s="25">
        <f t="shared" ca="1" si="250"/>
        <v>171.1760383903727</v>
      </c>
      <c r="E1413" s="26">
        <f t="shared" si="251"/>
        <v>171.1760383903727</v>
      </c>
      <c r="F1413" s="27">
        <f t="shared" si="252"/>
        <v>1</v>
      </c>
      <c r="G1413" s="28">
        <f t="shared" ca="1" si="253"/>
        <v>0.14011495078223396</v>
      </c>
      <c r="H1413" s="28">
        <f t="shared" ca="1" si="225"/>
        <v>0.1403896071534049</v>
      </c>
      <c r="I1413" s="28">
        <f t="shared" ca="1" si="226"/>
        <v>0.13933797754610677</v>
      </c>
      <c r="J1413" s="28">
        <f t="shared" ca="1" si="227"/>
        <v>0.13731890790130197</v>
      </c>
      <c r="K1413" s="36">
        <v>14</v>
      </c>
    </row>
    <row r="1414" spans="1:11" x14ac:dyDescent="0.25">
      <c r="A1414" s="23" t="s">
        <v>6</v>
      </c>
      <c r="B1414" s="24">
        <v>45977</v>
      </c>
      <c r="C1414" s="28">
        <v>0.14000000000000001</v>
      </c>
      <c r="D1414" s="25">
        <f t="shared" ca="1" si="250"/>
        <v>171.24166977935951</v>
      </c>
      <c r="E1414" s="26">
        <f t="shared" si="251"/>
        <v>171.30735151571324</v>
      </c>
      <c r="F1414" s="27">
        <f t="shared" si="252"/>
        <v>2</v>
      </c>
      <c r="G1414" s="28">
        <f t="shared" ca="1" si="253"/>
        <v>0.14011495078223396</v>
      </c>
      <c r="H1414" s="28">
        <f t="shared" ca="1" si="225"/>
        <v>0.1403905617462117</v>
      </c>
      <c r="I1414" s="28">
        <f t="shared" ca="1" si="226"/>
        <v>0.13947625753336676</v>
      </c>
      <c r="J1414" s="28">
        <f t="shared" ca="1" si="227"/>
        <v>0.13737788620685704</v>
      </c>
      <c r="K1414" s="36">
        <v>14</v>
      </c>
    </row>
    <row r="1415" spans="1:11" x14ac:dyDescent="0.25">
      <c r="A1415" s="13" t="s">
        <v>7</v>
      </c>
      <c r="B1415" s="29">
        <v>45978</v>
      </c>
      <c r="C1415" s="20">
        <v>0.14000000000000001</v>
      </c>
      <c r="D1415" s="30">
        <f t="shared" ca="1" si="250"/>
        <v>171.30730116834636</v>
      </c>
      <c r="E1415" s="31">
        <f>+E1412*(1+C1414*F1415/365)</f>
        <v>171.30730116834636</v>
      </c>
      <c r="F1415" s="32">
        <f t="shared" si="252"/>
        <v>3</v>
      </c>
      <c r="G1415" s="20">
        <f t="shared" ca="1" si="253"/>
        <v>0.14011495078223396</v>
      </c>
      <c r="H1415" s="20">
        <f t="shared" ca="1" si="225"/>
        <v>0.14038788843313482</v>
      </c>
      <c r="I1415" s="20">
        <f t="shared" ca="1" si="226"/>
        <v>0.13961263081428821</v>
      </c>
      <c r="J1415" s="20">
        <f t="shared" ca="1" si="227"/>
        <v>0.13743654806180561</v>
      </c>
      <c r="K1415" s="36">
        <v>14</v>
      </c>
    </row>
    <row r="1416" spans="1:11" x14ac:dyDescent="0.25">
      <c r="A1416" s="13" t="s">
        <v>7</v>
      </c>
      <c r="B1416" s="29">
        <v>45979</v>
      </c>
      <c r="C1416" s="20">
        <v>0.14000000000000001</v>
      </c>
      <c r="D1416" s="30">
        <f t="shared" ca="1" si="250"/>
        <v>171.37300807838355</v>
      </c>
      <c r="E1416" s="31">
        <f t="shared" ref="E1416" si="254">+E1415*(1+C1415*F1416/365)</f>
        <v>171.37300807838355</v>
      </c>
      <c r="F1416" s="32">
        <f t="shared" si="252"/>
        <v>1</v>
      </c>
      <c r="G1416" s="20">
        <f t="shared" ca="1" si="253"/>
        <v>0.14011495078223396</v>
      </c>
      <c r="H1416" s="20">
        <f t="shared" ca="1" si="225"/>
        <v>0.1403906406710845</v>
      </c>
      <c r="I1416" s="20">
        <f t="shared" ca="1" si="226"/>
        <v>0.13974723116523999</v>
      </c>
      <c r="J1416" s="20">
        <f t="shared" ca="1" si="227"/>
        <v>0.13750570382661548</v>
      </c>
      <c r="K1416" s="36">
        <v>14</v>
      </c>
    </row>
    <row r="1417" spans="1:11" x14ac:dyDescent="0.25">
      <c r="A1417" s="13" t="s">
        <v>7</v>
      </c>
      <c r="B1417" s="29">
        <v>45980</v>
      </c>
      <c r="C1417" s="20">
        <v>0.14000000000000001</v>
      </c>
      <c r="D1417" s="30">
        <f ca="1">+IF(F1417=1,D1416*(1+C1416*F1417/365),OFFSET(D1416,-F1417+1,0)*(1+C1416*F1417/365))</f>
        <v>171.43874019107116</v>
      </c>
      <c r="E1417" s="31">
        <f>+E1416*(1+C1416*F1417/365)</f>
        <v>171.43874019107116</v>
      </c>
      <c r="F1417" s="32">
        <f>IF(A1416="Working day",1,(IF(A1415="Working day",2,(IF(A1414="Working day",3,IF(A1413="Working day",4,IF(A1412="Working day",5,IF(A1411="Working day",6,7))))))))</f>
        <v>1</v>
      </c>
      <c r="G1417" s="20">
        <f ca="1">(D1417/OFFSET(D1417,-7,0)-1)*365/7</f>
        <v>0.140134137726521</v>
      </c>
      <c r="H1417" s="20">
        <f ca="1">($D1417/OFFSET($D1417,-30,0)-1)*365/30</f>
        <v>0.14039520002163072</v>
      </c>
      <c r="I1417" s="20">
        <f ca="1">($D1417/OFFSET($D1417,-90,0)-1)*365/90</f>
        <v>0.13987359729829416</v>
      </c>
      <c r="J1417" s="20">
        <f ca="1">($D1417/OFFSET($D1417,-180,0)-1)*365/180</f>
        <v>0.13756500554056958</v>
      </c>
      <c r="K1417" s="36">
        <v>14</v>
      </c>
    </row>
    <row r="1418" spans="1:11" x14ac:dyDescent="0.25">
      <c r="A1418" s="13" t="s">
        <v>7</v>
      </c>
      <c r="B1418" s="29">
        <v>45981</v>
      </c>
      <c r="C1418" s="20">
        <v>0.13989599999999999</v>
      </c>
      <c r="D1418" s="30">
        <f ca="1">+IF(F1418=1,D1417*(1+C1417*F1418/365),OFFSET(D1417,-F1418+1,0)*(1+C1417*F1418/365))</f>
        <v>171.50449751607596</v>
      </c>
      <c r="E1418" s="31">
        <f>+E1417*(1+C1417*F1418/365)</f>
        <v>171.50449751607596</v>
      </c>
      <c r="F1418" s="32">
        <f>IF(A1417="Working day",1,(IF(A1416="Working day",2,(IF(A1415="Working day",3,IF(A1414="Working day",4,IF(A1413="Working day",5,IF(A1412="Working day",6,7))))))))</f>
        <v>1</v>
      </c>
      <c r="G1418" s="20">
        <f ca="1">(D1418/OFFSET(D1418,-7,0)-1)*365/7</f>
        <v>0.1401381469390604</v>
      </c>
      <c r="H1418" s="20">
        <f ca="1">($D1418/OFFSET($D1418,-30,0)-1)*365/30</f>
        <v>0.14039520002163072</v>
      </c>
      <c r="I1418" s="20">
        <f ca="1">($D1418/OFFSET($D1418,-90,0)-1)*365/90</f>
        <v>0.1399649671268432</v>
      </c>
      <c r="J1418" s="20">
        <f ca="1">($D1418/OFFSET($D1418,-180,0)-1)*365/180</f>
        <v>0.13762430887864971</v>
      </c>
      <c r="K1418" s="36">
        <v>14</v>
      </c>
    </row>
    <row r="1419" spans="1:11" x14ac:dyDescent="0.25">
      <c r="A1419" s="13" t="s">
        <v>7</v>
      </c>
      <c r="B1419" s="29">
        <v>45982</v>
      </c>
      <c r="C1419" s="20">
        <v>0.14000000000000001</v>
      </c>
      <c r="D1419" s="30">
        <f ca="1">+IF(F1419=1,D1418*(1+C1418*F1419/365),OFFSET(D1418,-F1419+1,0)*(1+C1418*F1419/365))</f>
        <v>171.57023119603352</v>
      </c>
      <c r="E1419" s="31">
        <f>+E1418*(1+C1418*F1419/365)</f>
        <v>171.57023119603352</v>
      </c>
      <c r="F1419" s="32">
        <f>IF(A1418="Working day",1,(IF(A1417="Working day",2,(IF(A1416="Working day",3,IF(A1415="Working day",4,IF(A1414="Working day",5,IF(A1413="Working day",6,7))))))))</f>
        <v>1</v>
      </c>
      <c r="G1419" s="20">
        <f ca="1">(D1419/OFFSET(D1419,-7,0)-1)*365/7</f>
        <v>0.14012325557818647</v>
      </c>
      <c r="H1419" s="20">
        <f ca="1">($D1419/OFFSET($D1419,-30,0)-1)*365/30</f>
        <v>0.14039567189248001</v>
      </c>
      <c r="I1419" s="20">
        <f ca="1">($D1419/OFFSET($D1419,-90,0)-1)*365/90</f>
        <v>0.13999350891039036</v>
      </c>
      <c r="J1419" s="20">
        <f ca="1">($D1419/OFFSET($D1419,-180,0)-1)*365/180</f>
        <v>0.13768327156910207</v>
      </c>
      <c r="K1419" s="36">
        <v>14</v>
      </c>
    </row>
    <row r="1420" spans="1:11" x14ac:dyDescent="0.25">
      <c r="A1420" s="23" t="s">
        <v>6</v>
      </c>
      <c r="B1420" s="24">
        <v>45983</v>
      </c>
      <c r="C1420" s="28">
        <v>0.14000000000000001</v>
      </c>
      <c r="D1420" s="25">
        <f t="shared" ref="D1420:D1423" ca="1" si="255">+IF(F1420=1,D1419*(1+C1419*F1420/365),OFFSET(D1419,-F1420+1,0)*(1+C1419*F1420/365))</f>
        <v>171.63603895594434</v>
      </c>
      <c r="E1420" s="26">
        <f t="shared" ref="E1420:E1421" si="256">+E1419*(1+C1419*F1420/365)</f>
        <v>171.63603895594434</v>
      </c>
      <c r="F1420" s="27">
        <f t="shared" ref="F1420:F1423" si="257">IF(A1419="Working day",1,(IF(A1418="Working day",2,(IF(A1417="Working day",3,IF(A1416="Working day",4,IF(A1415="Working day",5,IF(A1414="Working day",6,7))))))))</f>
        <v>1</v>
      </c>
      <c r="G1420" s="28">
        <f t="shared" ref="G1420:G1423" ca="1" si="258">(D1420/OFFSET(D1420,-7,0)-1)*365/7</f>
        <v>0.14012325557818647</v>
      </c>
      <c r="H1420" s="28">
        <f t="shared" ref="H1420:H1470" ca="1" si="259">($D1420/OFFSET($D1420,-30,0)-1)*365/30</f>
        <v>0.14039914351371632</v>
      </c>
      <c r="I1420" s="28">
        <f t="shared" ref="I1420:I1470" ca="1" si="260">($D1420/OFFSET($D1420,-90,0)-1)*365/90</f>
        <v>0.14002384007680288</v>
      </c>
      <c r="J1420" s="28">
        <f t="shared" ref="J1420:J1422" ca="1" si="261">($D1420/OFFSET($D1420,-180,0)-1)*365/180</f>
        <v>0.13774312696558597</v>
      </c>
      <c r="K1420" s="36">
        <v>14</v>
      </c>
    </row>
    <row r="1421" spans="1:11" x14ac:dyDescent="0.25">
      <c r="A1421" s="23" t="s">
        <v>6</v>
      </c>
      <c r="B1421" s="24">
        <v>45984</v>
      </c>
      <c r="C1421" s="28">
        <v>0.14000000000000001</v>
      </c>
      <c r="D1421" s="25">
        <f t="shared" ca="1" si="255"/>
        <v>171.70184671585511</v>
      </c>
      <c r="E1421" s="26">
        <f t="shared" si="256"/>
        <v>171.76770495843107</v>
      </c>
      <c r="F1421" s="27">
        <f t="shared" si="257"/>
        <v>2</v>
      </c>
      <c r="G1421" s="28">
        <f t="shared" ca="1" si="258"/>
        <v>0.14012325557818647</v>
      </c>
      <c r="H1421" s="28">
        <f t="shared" ca="1" si="259"/>
        <v>0.14039733429207943</v>
      </c>
      <c r="I1421" s="28">
        <f t="shared" ca="1" si="260"/>
        <v>0.14005414843135466</v>
      </c>
      <c r="J1421" s="28">
        <f t="shared" ca="1" si="261"/>
        <v>0.13780623293724051</v>
      </c>
      <c r="K1421" s="36">
        <v>14</v>
      </c>
    </row>
    <row r="1422" spans="1:11" x14ac:dyDescent="0.25">
      <c r="A1422" s="13" t="s">
        <v>7</v>
      </c>
      <c r="B1422" s="29">
        <v>45985</v>
      </c>
      <c r="C1422" s="20">
        <v>0.139709</v>
      </c>
      <c r="D1422" s="30">
        <f t="shared" ca="1" si="255"/>
        <v>171.76765447576594</v>
      </c>
      <c r="E1422" s="31">
        <f>+E1419*(1+C1421*F1422/365)</f>
        <v>171.76765447576594</v>
      </c>
      <c r="F1422" s="32">
        <f t="shared" si="257"/>
        <v>3</v>
      </c>
      <c r="G1422" s="20">
        <f t="shared" ca="1" si="258"/>
        <v>0.14012325557818647</v>
      </c>
      <c r="H1422" s="20">
        <f t="shared" ca="1" si="259"/>
        <v>0.14041434475871706</v>
      </c>
      <c r="I1422" s="20">
        <f t="shared" ca="1" si="260"/>
        <v>0.14004374601082795</v>
      </c>
      <c r="J1422" s="20">
        <f t="shared" ca="1" si="261"/>
        <v>0.13786490639764235</v>
      </c>
      <c r="K1422" s="36">
        <v>14</v>
      </c>
    </row>
    <row r="1423" spans="1:11" x14ac:dyDescent="0.25">
      <c r="A1423" s="13" t="s">
        <v>7</v>
      </c>
      <c r="B1423" s="29">
        <v>45986</v>
      </c>
      <c r="C1423" s="20">
        <v>0.139152</v>
      </c>
      <c r="D1423" s="30">
        <f t="shared" ca="1" si="255"/>
        <v>171.83340101614718</v>
      </c>
      <c r="E1423" s="31">
        <f t="shared" ref="E1423" si="262">+E1422*(1+C1422*F1423/365)</f>
        <v>171.83340101614718</v>
      </c>
      <c r="F1423" s="32">
        <f t="shared" si="257"/>
        <v>1</v>
      </c>
      <c r="G1423" s="20">
        <f t="shared" ca="1" si="258"/>
        <v>0.14008158841681939</v>
      </c>
      <c r="H1423" s="20">
        <f t="shared" ca="1" si="259"/>
        <v>0.14042695756315712</v>
      </c>
      <c r="I1423" s="20">
        <f t="shared" ca="1" si="260"/>
        <v>0.13996223473590841</v>
      </c>
      <c r="J1423" s="20">
        <f ca="1">($D1423/OFFSET($D1423,-180,0)-1)*365/180</f>
        <v>0.1379239807436615</v>
      </c>
      <c r="K1423" s="36">
        <v>14</v>
      </c>
    </row>
    <row r="1424" spans="1:11" x14ac:dyDescent="0.25">
      <c r="A1424" s="13" t="s">
        <v>7</v>
      </c>
      <c r="B1424" s="29">
        <v>45987</v>
      </c>
      <c r="C1424" s="20">
        <v>0.13871800000000001</v>
      </c>
      <c r="D1424" s="30">
        <f t="shared" ref="D1424" ca="1" si="263">+IF(F1424=1,D1423*(1+C1423*F1424/365),OFFSET(D1423,-F1424+1,0)*(1+C1423*F1424/365))</f>
        <v>171.89891049948469</v>
      </c>
      <c r="E1424" s="31">
        <f t="shared" ref="E1424" si="264">+E1423*(1+C1423*F1424/365)</f>
        <v>171.89891049948469</v>
      </c>
      <c r="F1424" s="32">
        <f t="shared" ref="F1424" si="265">IF(A1423="Working day",1,(IF(A1422="Working day",2,(IF(A1421="Working day",3,IF(A1420="Working day",4,IF(A1419="Working day",5,IF(A1418="Working day",6,7))))))))</f>
        <v>1</v>
      </c>
      <c r="G1424" s="20">
        <f t="shared" ref="G1424" ca="1" si="266">(D1424/OFFSET(D1424,-7,0)-1)*365/7</f>
        <v>0.13996016668256703</v>
      </c>
      <c r="H1424" s="20">
        <f t="shared" ca="1" si="259"/>
        <v>0.14042258866455481</v>
      </c>
      <c r="I1424" s="20">
        <f t="shared" ca="1" si="260"/>
        <v>0.13988019639215626</v>
      </c>
      <c r="J1424" s="20">
        <f ca="1">($D1424/OFFSET($D1424,-180,0)-1)*365/180</f>
        <v>0.13797826415640163</v>
      </c>
      <c r="K1424" s="36">
        <v>14</v>
      </c>
    </row>
    <row r="1425" spans="1:11" x14ac:dyDescent="0.25">
      <c r="A1425" s="13" t="s">
        <v>7</v>
      </c>
      <c r="B1425" s="29">
        <v>45988</v>
      </c>
      <c r="C1425" s="20">
        <v>0.139296</v>
      </c>
      <c r="D1425" s="30">
        <f t="shared" ref="D1425" ca="1" si="267">+IF(F1425=1,D1424*(1+C1424*F1425/365),OFFSET(D1424,-F1425+1,0)*(1+C1424*F1425/365))</f>
        <v>171.96424056268103</v>
      </c>
      <c r="E1425" s="31">
        <f t="shared" ref="E1425" si="268">+E1424*(1+C1424*F1425/365)</f>
        <v>171.96424056268103</v>
      </c>
      <c r="F1425" s="32">
        <f t="shared" ref="F1425" si="269">IF(A1424="Working day",1,(IF(A1423="Working day",2,(IF(A1422="Working day",3,IF(A1421="Working day",4,IF(A1420="Working day",5,IF(A1419="Working day",6,7))))))))</f>
        <v>1</v>
      </c>
      <c r="G1425" s="20">
        <f t="shared" ref="G1425" ca="1" si="270">(D1425/OFFSET(D1425,-7,0)-1)*365/7</f>
        <v>0.13977660264742137</v>
      </c>
      <c r="H1425" s="20">
        <f t="shared" ca="1" si="259"/>
        <v>0.14039990507775596</v>
      </c>
      <c r="I1425" s="20">
        <f t="shared" ca="1" si="260"/>
        <v>0.13986005455782841</v>
      </c>
      <c r="J1425" s="20">
        <f ca="1">($D1425/OFFSET($D1425,-180,0)-1)*365/180</f>
        <v>0.13794322839231296</v>
      </c>
      <c r="K1425" s="36">
        <v>14</v>
      </c>
    </row>
    <row r="1426" spans="1:11" x14ac:dyDescent="0.25">
      <c r="A1426" s="13" t="s">
        <v>7</v>
      </c>
      <c r="B1426" s="29">
        <v>45989</v>
      </c>
      <c r="C1426" s="20">
        <v>0.13932900000000001</v>
      </c>
      <c r="D1426" s="30">
        <f t="shared" ref="D1426:D1430" ca="1" si="271">+IF(F1426=1,D1425*(1+C1425*F1426/365),OFFSET(D1425,-F1426+1,0)*(1+C1425*F1426/365))</f>
        <v>172.02986777049861</v>
      </c>
      <c r="E1426" s="31">
        <f t="shared" ref="E1426:E1428" si="272">+E1425*(1+C1425*F1426/365)</f>
        <v>172.02986777049861</v>
      </c>
      <c r="F1426" s="32">
        <f t="shared" ref="F1426:F1430" si="273">IF(A1425="Working day",1,(IF(A1424="Working day",2,(IF(A1423="Working day",3,IF(A1422="Working day",4,IF(A1421="Working day",5,IF(A1420="Working day",6,7))))))))</f>
        <v>1</v>
      </c>
      <c r="G1426" s="20">
        <f t="shared" ref="G1426:G1430" ca="1" si="274">(D1426/OFFSET(D1426,-7,0)-1)*365/7</f>
        <v>0.13969069151968019</v>
      </c>
      <c r="H1426" s="20">
        <f t="shared" ca="1" si="259"/>
        <v>0.14041692619074653</v>
      </c>
      <c r="I1426" s="20">
        <f t="shared" ca="1" si="260"/>
        <v>0.1398631453443932</v>
      </c>
      <c r="J1426" s="20">
        <f ca="1">($D1426/OFFSET($D1426,-180,0)-1)*365/180</f>
        <v>0.13791196113442281</v>
      </c>
      <c r="K1426" s="36">
        <v>14</v>
      </c>
    </row>
    <row r="1427" spans="1:11" x14ac:dyDescent="0.25">
      <c r="A1427" s="23" t="s">
        <v>6</v>
      </c>
      <c r="B1427" s="24">
        <v>45990</v>
      </c>
      <c r="C1427" s="28">
        <v>0.13932900000000001</v>
      </c>
      <c r="D1427" s="25">
        <f t="shared" ca="1" si="271"/>
        <v>172.09553557720162</v>
      </c>
      <c r="E1427" s="26">
        <f t="shared" si="272"/>
        <v>172.09553557720162</v>
      </c>
      <c r="F1427" s="27">
        <f t="shared" si="273"/>
        <v>1</v>
      </c>
      <c r="G1427" s="28">
        <f t="shared" ca="1" si="274"/>
        <v>0.13959461442706861</v>
      </c>
      <c r="H1427" s="28">
        <f t="shared" ca="1" si="259"/>
        <v>0.14041234228916927</v>
      </c>
      <c r="I1427" s="28">
        <f t="shared" ca="1" si="260"/>
        <v>0.13986722351620126</v>
      </c>
      <c r="J1427" s="28">
        <f t="shared" ref="J1427:J1429" ca="1" si="275">($D1427/OFFSET($D1427,-180,0)-1)*365/180</f>
        <v>0.13788122952379173</v>
      </c>
      <c r="K1427" s="36">
        <v>14</v>
      </c>
    </row>
    <row r="1428" spans="1:11" x14ac:dyDescent="0.25">
      <c r="A1428" s="23" t="s">
        <v>6</v>
      </c>
      <c r="B1428" s="24">
        <v>45991</v>
      </c>
      <c r="C1428" s="28">
        <v>0.13932900000000001</v>
      </c>
      <c r="D1428" s="25">
        <f t="shared" ca="1" si="271"/>
        <v>172.16120338390462</v>
      </c>
      <c r="E1428" s="26">
        <f t="shared" si="272"/>
        <v>172.22692132446977</v>
      </c>
      <c r="F1428" s="27">
        <f t="shared" si="273"/>
        <v>2</v>
      </c>
      <c r="G1428" s="28">
        <f t="shared" ca="1" si="274"/>
        <v>0.13949861098094612</v>
      </c>
      <c r="H1428" s="28">
        <f t="shared" ca="1" si="259"/>
        <v>0.1404245380148465</v>
      </c>
      <c r="I1428" s="28">
        <f t="shared" ca="1" si="260"/>
        <v>0.13987129858483727</v>
      </c>
      <c r="J1428" s="28">
        <f t="shared" ca="1" si="275"/>
        <v>0.13793624635611673</v>
      </c>
      <c r="K1428" s="36">
        <v>14</v>
      </c>
    </row>
    <row r="1429" spans="1:11" x14ac:dyDescent="0.25">
      <c r="A1429" s="13" t="s">
        <v>7</v>
      </c>
      <c r="B1429" s="29">
        <v>45992</v>
      </c>
      <c r="C1429" s="20">
        <v>0.13966300000000001</v>
      </c>
      <c r="D1429" s="30">
        <f t="shared" ca="1" si="271"/>
        <v>172.2268711906076</v>
      </c>
      <c r="E1429" s="31">
        <f>+E1426*(1+C1428*F1429/365)</f>
        <v>172.2268711906076</v>
      </c>
      <c r="F1429" s="32">
        <f t="shared" si="273"/>
        <v>3</v>
      </c>
      <c r="G1429" s="20">
        <f t="shared" ca="1" si="274"/>
        <v>0.1394026810966309</v>
      </c>
      <c r="H1429" s="20">
        <f t="shared" ca="1" si="259"/>
        <v>0.14045449226795864</v>
      </c>
      <c r="I1429" s="20">
        <f t="shared" ca="1" si="260"/>
        <v>0.13987537055384025</v>
      </c>
      <c r="J1429" s="20">
        <f t="shared" ca="1" si="275"/>
        <v>0.13800207110770948</v>
      </c>
      <c r="K1429" s="36">
        <v>14</v>
      </c>
    </row>
    <row r="1430" spans="1:11" x14ac:dyDescent="0.25">
      <c r="A1430" s="13" t="s">
        <v>7</v>
      </c>
      <c r="B1430" s="29">
        <v>45993</v>
      </c>
      <c r="C1430" s="20">
        <v>0.13997100000000001</v>
      </c>
      <c r="D1430" s="30">
        <f t="shared" ca="1" si="271"/>
        <v>172.29277179748732</v>
      </c>
      <c r="E1430" s="31">
        <f t="shared" ref="E1430" si="276">+E1429*(1+C1429*F1430/365)</f>
        <v>172.29277179748732</v>
      </c>
      <c r="F1430" s="32">
        <f t="shared" si="273"/>
        <v>1</v>
      </c>
      <c r="G1430" s="20">
        <f t="shared" ca="1" si="274"/>
        <v>0.13939609462057095</v>
      </c>
      <c r="H1430" s="20">
        <f t="shared" ca="1" si="259"/>
        <v>0.14050105314837158</v>
      </c>
      <c r="I1430" s="20">
        <f t="shared" ca="1" si="260"/>
        <v>0.13995083780318066</v>
      </c>
      <c r="J1430" s="20">
        <f ca="1">($D1430/OFFSET($D1430,-180,0)-1)*365/180</f>
        <v>0.13814503851719173</v>
      </c>
      <c r="K1430" s="36">
        <v>14</v>
      </c>
    </row>
    <row r="1431" spans="1:11" x14ac:dyDescent="0.25">
      <c r="A1431" s="13" t="s">
        <v>7</v>
      </c>
      <c r="B1431" s="29">
        <v>45994</v>
      </c>
      <c r="C1431" s="20">
        <v>0.13936000000000001</v>
      </c>
      <c r="D1431" s="30">
        <f t="shared" ref="D1431" ca="1" si="277">+IF(F1431=1,D1430*(1+C1430*F1431/365),OFFSET(D1430,-F1431+1,0)*(1+C1430*F1431/365))</f>
        <v>172.35884300724419</v>
      </c>
      <c r="E1431" s="31">
        <f t="shared" ref="E1431" si="278">+E1430*(1+C1430*F1431/365)</f>
        <v>172.35884300724419</v>
      </c>
      <c r="F1431" s="32">
        <f t="shared" ref="F1431" si="279">IF(A1430="Working day",1,(IF(A1429="Working day",2,(IF(A1428="Working day",3,IF(A1427="Working day",4,IF(A1426="Working day",5,IF(A1425="Working day",6,7))))))))</f>
        <v>1</v>
      </c>
      <c r="G1431" s="20">
        <f t="shared" ref="G1431" ca="1" si="280">(D1431/OFFSET(D1431,-7,0)-1)*365/7</f>
        <v>0.13951336269540798</v>
      </c>
      <c r="H1431" s="20">
        <f t="shared" ca="1" si="259"/>
        <v>0.14055976061824405</v>
      </c>
      <c r="I1431" s="20">
        <f t="shared" ca="1" si="260"/>
        <v>0.14002274428038303</v>
      </c>
      <c r="J1431" s="20">
        <f ca="1">($D1431/OFFSET($D1431,-180,0)-1)*365/180</f>
        <v>0.1382317228008795</v>
      </c>
      <c r="K1431" s="36">
        <v>14</v>
      </c>
    </row>
    <row r="1432" spans="1:11" x14ac:dyDescent="0.25">
      <c r="A1432" s="13" t="s">
        <v>7</v>
      </c>
      <c r="B1432" s="29">
        <v>45995</v>
      </c>
      <c r="C1432" s="20">
        <v>0.13958499999999999</v>
      </c>
      <c r="D1432" s="30">
        <f t="shared" ref="D1432" ca="1" si="281">+IF(F1432=1,D1431*(1+C1431*F1432/365),OFFSET(D1431,-F1432+1,0)*(1+C1431*F1432/365))</f>
        <v>172.42465103015238</v>
      </c>
      <c r="E1432" s="31">
        <f t="shared" ref="E1432" si="282">+E1431*(1+C1431*F1432/365)</f>
        <v>172.42465103015238</v>
      </c>
      <c r="F1432" s="32">
        <f t="shared" ref="F1432" si="283">IF(A1431="Working day",1,(IF(A1430="Working day",2,(IF(A1429="Working day",3,IF(A1428="Working day",4,IF(A1427="Working day",5,IF(A1426="Working day",6,7))))))))</f>
        <v>1</v>
      </c>
      <c r="G1432" s="20">
        <f t="shared" ref="G1432" ca="1" si="284">(D1432/OFFSET(D1432,-7,0)-1)*365/7</f>
        <v>0.1396052874358113</v>
      </c>
      <c r="H1432" s="20">
        <f t="shared" ca="1" si="259"/>
        <v>0.14054037995204655</v>
      </c>
      <c r="I1432" s="20">
        <f t="shared" ca="1" si="260"/>
        <v>0.14013029669428065</v>
      </c>
      <c r="J1432" s="20">
        <f ca="1">($D1432/OFFSET($D1432,-180,0)-1)*365/180</f>
        <v>0.13831096115908603</v>
      </c>
      <c r="K1432" s="36">
        <v>14</v>
      </c>
    </row>
    <row r="1433" spans="1:11" x14ac:dyDescent="0.25">
      <c r="A1433" s="13" t="s">
        <v>7</v>
      </c>
      <c r="B1433" s="29">
        <v>45996</v>
      </c>
      <c r="C1433" s="20">
        <v>0.13569600000000001</v>
      </c>
      <c r="D1433" s="30">
        <f t="shared" ref="D1433:D1435" ca="1" si="285">+IF(F1433=1,D1432*(1+C1432*F1433/365),OFFSET(D1432,-F1433+1,0)*(1+C1432*F1433/365))</f>
        <v>172.49059046827307</v>
      </c>
      <c r="E1433" s="31">
        <f t="shared" ref="E1433:E1435" si="286">+E1432*(1+C1432*F1433/365)</f>
        <v>172.49059046827307</v>
      </c>
      <c r="F1433" s="32">
        <f t="shared" ref="F1433:F1435" si="287">IF(A1432="Working day",1,(IF(A1431="Working day",2,(IF(A1430="Working day",3,IF(A1429="Working day",4,IF(A1428="Working day",5,IF(A1427="Working day",6,7))))))))</f>
        <v>1</v>
      </c>
      <c r="G1433" s="20">
        <f t="shared" ref="G1433:G1435" ca="1" si="288">(D1433/OFFSET(D1433,-7,0)-1)*365/7</f>
        <v>0.13964666789475594</v>
      </c>
      <c r="H1433" s="20">
        <f t="shared" ca="1" si="259"/>
        <v>0.14052851563253241</v>
      </c>
      <c r="I1433" s="20">
        <f t="shared" ca="1" si="260"/>
        <v>0.140225406839695</v>
      </c>
      <c r="J1433" s="20">
        <f ca="1">($D1433/OFFSET($D1433,-180,0)-1)*365/180</f>
        <v>0.13839383461756768</v>
      </c>
      <c r="K1433" s="36">
        <v>14</v>
      </c>
    </row>
    <row r="1434" spans="1:11" x14ac:dyDescent="0.25">
      <c r="A1434" s="23" t="s">
        <v>6</v>
      </c>
      <c r="B1434" s="24">
        <v>45997</v>
      </c>
      <c r="C1434" s="28">
        <v>0.13569600000000001</v>
      </c>
      <c r="D1434" s="25">
        <f t="shared" ca="1" si="285"/>
        <v>172.55471727146261</v>
      </c>
      <c r="E1434" s="26">
        <f t="shared" si="286"/>
        <v>172.55471727146261</v>
      </c>
      <c r="F1434" s="27">
        <f t="shared" si="287"/>
        <v>1</v>
      </c>
      <c r="G1434" s="28">
        <f t="shared" ca="1" si="288"/>
        <v>0.13912647650133034</v>
      </c>
      <c r="H1434" s="28">
        <f t="shared" ca="1" si="259"/>
        <v>0.14038466090772458</v>
      </c>
      <c r="I1434" s="28">
        <f t="shared" ca="1" si="260"/>
        <v>0.14027637266206341</v>
      </c>
      <c r="J1434" s="28">
        <f t="shared" ref="J1434:J1437" ca="1" si="289">($D1434/OFFSET($D1434,-180,0)-1)*365/180</f>
        <v>0.13845389546691914</v>
      </c>
      <c r="K1434" s="36">
        <v>14</v>
      </c>
    </row>
    <row r="1435" spans="1:11" x14ac:dyDescent="0.25">
      <c r="A1435" s="23" t="s">
        <v>6</v>
      </c>
      <c r="B1435" s="24">
        <v>45998</v>
      </c>
      <c r="C1435" s="28">
        <v>0.13569600000000001</v>
      </c>
      <c r="D1435" s="25">
        <f t="shared" ca="1" si="285"/>
        <v>172.61884407465215</v>
      </c>
      <c r="E1435" s="26">
        <f t="shared" si="286"/>
        <v>172.68301855866736</v>
      </c>
      <c r="F1435" s="27">
        <f t="shared" si="287"/>
        <v>2</v>
      </c>
      <c r="G1435" s="28">
        <f t="shared" ca="1" si="288"/>
        <v>0.13860668194328454</v>
      </c>
      <c r="H1435" s="28">
        <f t="shared" ca="1" si="259"/>
        <v>0.14023789478949572</v>
      </c>
      <c r="I1435" s="28">
        <f t="shared" ca="1" si="260"/>
        <v>0.14032730185426578</v>
      </c>
      <c r="J1435" s="28">
        <f t="shared" ca="1" si="289"/>
        <v>0.13851546398901726</v>
      </c>
      <c r="K1435" s="36">
        <v>14</v>
      </c>
    </row>
    <row r="1436" spans="1:11" x14ac:dyDescent="0.25">
      <c r="A1436" s="23" t="s">
        <v>6</v>
      </c>
      <c r="B1436" s="24">
        <v>45999</v>
      </c>
      <c r="C1436" s="28">
        <v>0.13569600000000001</v>
      </c>
      <c r="D1436" s="25">
        <f t="shared" ref="D1436:D1438" ca="1" si="290">+IF(F1436=1,D1435*(1+C1435*F1436/365),OFFSET(D1435,-F1436+1,0)*(1+C1435*F1436/365))</f>
        <v>172.68297087784168</v>
      </c>
      <c r="E1436" s="26">
        <f t="shared" ref="E1436" si="291">+E1435*(1+C1435*F1436/365)</f>
        <v>172.8756135851304</v>
      </c>
      <c r="F1436" s="27">
        <f t="shared" ref="F1436:F1438" si="292">IF(A1435="Working day",1,(IF(A1434="Working day",2,(IF(A1433="Working day",3,IF(A1432="Working day",4,IF(A1431="Working day",5,IF(A1430="Working day",6,7))))))))</f>
        <v>3</v>
      </c>
      <c r="G1436" s="28">
        <f t="shared" ref="G1436:G1438" ca="1" si="293">(D1436/OFFSET(D1436,-7,0)-1)*365/7</f>
        <v>0.13808728376670149</v>
      </c>
      <c r="H1436" s="28">
        <f t="shared" ca="1" si="259"/>
        <v>0.14008943199630106</v>
      </c>
      <c r="I1436" s="28">
        <f t="shared" ca="1" si="260"/>
        <v>0.14039790765660351</v>
      </c>
      <c r="J1436" s="28">
        <f t="shared" ca="1" si="289"/>
        <v>0.13857691921638757</v>
      </c>
      <c r="K1436" s="36">
        <v>14</v>
      </c>
    </row>
    <row r="1437" spans="1:11" x14ac:dyDescent="0.25">
      <c r="A1437" s="13" t="s">
        <v>7</v>
      </c>
      <c r="B1437" s="29">
        <v>46000</v>
      </c>
      <c r="C1437" s="20">
        <v>0.13911399999999999</v>
      </c>
      <c r="D1437" s="30">
        <f t="shared" ca="1" si="290"/>
        <v>172.74709768103122</v>
      </c>
      <c r="E1437" s="31">
        <f>+E1433*(1+C1436*F1437/365)</f>
        <v>172.74709768103122</v>
      </c>
      <c r="F1437" s="32">
        <f t="shared" si="292"/>
        <v>4</v>
      </c>
      <c r="G1437" s="20">
        <f t="shared" ca="1" si="293"/>
        <v>0.1374976407587041</v>
      </c>
      <c r="H1437" s="20">
        <f t="shared" ca="1" si="259"/>
        <v>0.13994108300507635</v>
      </c>
      <c r="I1437" s="20">
        <f t="shared" ca="1" si="260"/>
        <v>0.14046692470904909</v>
      </c>
      <c r="J1437" s="20">
        <f t="shared" ca="1" si="289"/>
        <v>0.13861229139491815</v>
      </c>
      <c r="K1437" s="36">
        <v>14</v>
      </c>
    </row>
    <row r="1438" spans="1:11" x14ac:dyDescent="0.25">
      <c r="A1438" s="13" t="s">
        <v>7</v>
      </c>
      <c r="B1438" s="29">
        <v>46001</v>
      </c>
      <c r="C1438" s="20">
        <v>0.139484</v>
      </c>
      <c r="D1438" s="30">
        <f t="shared" ca="1" si="290"/>
        <v>172.81293751595396</v>
      </c>
      <c r="E1438" s="31">
        <f t="shared" ref="E1438" si="294">+E1437*(1+C1437*F1438/365)</f>
        <v>172.81293751595396</v>
      </c>
      <c r="F1438" s="32">
        <f t="shared" si="292"/>
        <v>1</v>
      </c>
      <c r="G1438" s="20">
        <f t="shared" ca="1" si="293"/>
        <v>0.13737493640528928</v>
      </c>
      <c r="H1438" s="20">
        <f t="shared" ca="1" si="259"/>
        <v>0.13991483834699048</v>
      </c>
      <c r="I1438" s="20">
        <f t="shared" ca="1" si="260"/>
        <v>0.14056766224911807</v>
      </c>
      <c r="J1438" s="20">
        <f ca="1">($D1438/OFFSET($D1438,-180,0)-1)*365/180</f>
        <v>0.13866827713895519</v>
      </c>
      <c r="K1438" s="36">
        <v>14</v>
      </c>
    </row>
    <row r="1439" spans="1:11" x14ac:dyDescent="0.25">
      <c r="A1439" s="13" t="s">
        <v>7</v>
      </c>
      <c r="B1439" s="29">
        <v>46002</v>
      </c>
      <c r="C1439" s="20">
        <v>0.13967499999999999</v>
      </c>
      <c r="D1439" s="30">
        <f t="shared" ref="D1439" ca="1" si="295">+IF(F1439=1,D1438*(1+C1438*F1439/365),OFFSET(D1438,-F1439+1,0)*(1+C1438*F1439/365))</f>
        <v>172.87897762493063</v>
      </c>
      <c r="E1439" s="31">
        <f t="shared" ref="E1439" si="296">+E1438*(1+C1438*F1439/365)</f>
        <v>172.87897762493063</v>
      </c>
      <c r="F1439" s="32">
        <f t="shared" ref="F1439" si="297">IF(A1438="Working day",1,(IF(A1437="Working day",2,(IF(A1436="Working day",3,IF(A1435="Working day",4,IF(A1434="Working day",5,IF(A1433="Working day",6,7))))))))</f>
        <v>1</v>
      </c>
      <c r="G1439" s="20">
        <f t="shared" ref="G1439" ca="1" si="298">(D1439/OFFSET(D1439,-7,0)-1)*365/7</f>
        <v>0.13739269058216366</v>
      </c>
      <c r="H1439" s="20">
        <f t="shared" ca="1" si="259"/>
        <v>0.13989744722014424</v>
      </c>
      <c r="I1439" s="20">
        <f t="shared" ca="1" si="260"/>
        <v>0.14067665365655643</v>
      </c>
      <c r="J1439" s="20">
        <f ca="1">($D1439/OFFSET($D1439,-180,0)-1)*365/180</f>
        <v>0.13872889835271057</v>
      </c>
      <c r="K1439" s="36">
        <v>14</v>
      </c>
    </row>
    <row r="1440" spans="1:11" x14ac:dyDescent="0.25">
      <c r="A1440" s="13" t="s">
        <v>7</v>
      </c>
      <c r="B1440" s="29">
        <v>46003</v>
      </c>
      <c r="C1440" s="20">
        <v>0.13938200000000001</v>
      </c>
      <c r="D1440" s="30">
        <f t="shared" ref="D1440:D1444" ca="1" si="299">+IF(F1440=1,D1439*(1+C1439*F1440/365),OFFSET(D1439,-F1440+1,0)*(1+C1439*F1440/365))</f>
        <v>172.94513343643683</v>
      </c>
      <c r="E1440" s="31">
        <f t="shared" ref="E1440:E1442" si="300">+E1439*(1+C1439*F1440/365)</f>
        <v>172.94513343643683</v>
      </c>
      <c r="F1440" s="32">
        <f t="shared" ref="F1440:F1444" si="301">IF(A1439="Working day",1,(IF(A1438="Working day",2,(IF(A1437="Working day",3,IF(A1436="Working day",4,IF(A1435="Working day",5,IF(A1434="Working day",6,7))))))))</f>
        <v>1</v>
      </c>
      <c r="G1440" s="20">
        <f t="shared" ref="G1440:G1444" ca="1" si="302">(D1440/OFFSET(D1440,-7,0)-1)*365/7</f>
        <v>0.13740557667470082</v>
      </c>
      <c r="H1440" s="20">
        <f t="shared" ca="1" si="259"/>
        <v>0.13989100981364747</v>
      </c>
      <c r="I1440" s="20">
        <f t="shared" ca="1" si="260"/>
        <v>0.14075043442128879</v>
      </c>
      <c r="J1440" s="20">
        <f ca="1">($D1440/OFFSET($D1440,-180,0)-1)*365/180</f>
        <v>0.13879092612057095</v>
      </c>
      <c r="K1440" s="36">
        <v>14</v>
      </c>
    </row>
    <row r="1441" spans="1:11" x14ac:dyDescent="0.25">
      <c r="A1441" s="23" t="s">
        <v>6</v>
      </c>
      <c r="B1441" s="24">
        <v>46004</v>
      </c>
      <c r="C1441" s="28">
        <v>0.13938200000000001</v>
      </c>
      <c r="D1441" s="25">
        <f t="shared" ca="1" si="299"/>
        <v>173.01117573393995</v>
      </c>
      <c r="E1441" s="26">
        <f t="shared" si="300"/>
        <v>173.01117573393995</v>
      </c>
      <c r="F1441" s="27">
        <f t="shared" si="301"/>
        <v>1</v>
      </c>
      <c r="G1441" s="28">
        <f t="shared" ca="1" si="302"/>
        <v>0.13793333950505543</v>
      </c>
      <c r="H1441" s="28">
        <f t="shared" ca="1" si="259"/>
        <v>0.13987112464744908</v>
      </c>
      <c r="I1441" s="28">
        <f t="shared" ca="1" si="260"/>
        <v>0.14082140807707025</v>
      </c>
      <c r="J1441" s="28">
        <f t="shared" ref="J1441:J1443" ca="1" si="303">($D1441/OFFSET($D1441,-180,0)-1)*365/180</f>
        <v>0.13885148845740197</v>
      </c>
      <c r="K1441" s="36">
        <v>14</v>
      </c>
    </row>
    <row r="1442" spans="1:11" x14ac:dyDescent="0.25">
      <c r="A1442" s="23" t="s">
        <v>6</v>
      </c>
      <c r="B1442" s="24">
        <v>46005</v>
      </c>
      <c r="C1442" s="28">
        <v>0.13938200000000001</v>
      </c>
      <c r="D1442" s="25">
        <f t="shared" ca="1" si="299"/>
        <v>173.07721803144307</v>
      </c>
      <c r="E1442" s="26">
        <f t="shared" si="300"/>
        <v>173.14331076789145</v>
      </c>
      <c r="F1442" s="27">
        <f t="shared" si="301"/>
        <v>2</v>
      </c>
      <c r="G1442" s="28">
        <f t="shared" ca="1" si="302"/>
        <v>0.13846071021434186</v>
      </c>
      <c r="H1442" s="28">
        <f t="shared" ca="1" si="259"/>
        <v>0.13984850260355958</v>
      </c>
      <c r="I1442" s="28">
        <f t="shared" ca="1" si="260"/>
        <v>0.14089232996711171</v>
      </c>
      <c r="J1442" s="28">
        <f t="shared" ca="1" si="303"/>
        <v>0.1389080309952036</v>
      </c>
      <c r="K1442" s="36">
        <v>14</v>
      </c>
    </row>
    <row r="1443" spans="1:11" x14ac:dyDescent="0.25">
      <c r="A1443" s="13" t="s">
        <v>7</v>
      </c>
      <c r="B1443" s="29">
        <v>46006</v>
      </c>
      <c r="C1443" s="20">
        <v>0.13972399999999999</v>
      </c>
      <c r="D1443" s="30">
        <f t="shared" ca="1" si="299"/>
        <v>173.14326032894618</v>
      </c>
      <c r="E1443" s="31">
        <f>+E1440*(1+C1442*F1443/365)</f>
        <v>173.14326032894618</v>
      </c>
      <c r="F1443" s="32">
        <f t="shared" si="301"/>
        <v>3</v>
      </c>
      <c r="G1443" s="20">
        <f t="shared" ca="1" si="302"/>
        <v>0.13898768923939961</v>
      </c>
      <c r="H1443" s="20">
        <f t="shared" ca="1" si="259"/>
        <v>0.1398240887629025</v>
      </c>
      <c r="I1443" s="20">
        <f t="shared" ca="1" si="260"/>
        <v>0.14094282538796118</v>
      </c>
      <c r="J1443" s="20">
        <f t="shared" ca="1" si="303"/>
        <v>0.138963072695411</v>
      </c>
      <c r="K1443" s="36">
        <v>14</v>
      </c>
    </row>
    <row r="1444" spans="1:11" x14ac:dyDescent="0.25">
      <c r="A1444" s="13" t="s">
        <v>7</v>
      </c>
      <c r="B1444" s="29">
        <v>46007</v>
      </c>
      <c r="C1444" s="20">
        <v>0.13930899999999999</v>
      </c>
      <c r="D1444" s="30">
        <f t="shared" ca="1" si="299"/>
        <v>173.20954051773032</v>
      </c>
      <c r="E1444" s="31">
        <f t="shared" ref="E1444" si="304">+E1443*(1+C1443*F1444/365)</f>
        <v>173.20954051773032</v>
      </c>
      <c r="F1444" s="32">
        <f t="shared" si="301"/>
        <v>1</v>
      </c>
      <c r="G1444" s="20">
        <f t="shared" ca="1" si="302"/>
        <v>0.13958608332316641</v>
      </c>
      <c r="H1444" s="20">
        <f t="shared" ca="1" si="259"/>
        <v>0.13981659573685426</v>
      </c>
      <c r="I1444" s="20">
        <f t="shared" ca="1" si="260"/>
        <v>0.14098579761773561</v>
      </c>
      <c r="J1444" s="20">
        <f ca="1">($D1444/OFFSET($D1444,-180,0)-1)*365/180</f>
        <v>0.13902393355740716</v>
      </c>
      <c r="K1444" s="36">
        <v>14</v>
      </c>
    </row>
    <row r="1445" spans="1:11" x14ac:dyDescent="0.25">
      <c r="A1445" s="13" t="s">
        <v>7</v>
      </c>
      <c r="B1445" s="29">
        <v>46008</v>
      </c>
      <c r="C1445" s="20">
        <v>0.139095</v>
      </c>
      <c r="D1445" s="30">
        <f t="shared" ref="D1445" ca="1" si="305">+IF(F1445=1,D1444*(1+C1444*F1445/365),OFFSET(D1444,-F1445+1,0)*(1+C1444*F1445/365))</f>
        <v>173.27564914205902</v>
      </c>
      <c r="E1445" s="31">
        <f t="shared" ref="E1445" si="306">+E1444*(1+C1444*F1445/365)</f>
        <v>173.27564914205902</v>
      </c>
      <c r="F1445" s="32">
        <f t="shared" ref="F1445" si="307">IF(A1444="Working day",1,(IF(A1443="Working day",2,(IF(A1442="Working day",3,IF(A1441="Working day",4,IF(A1440="Working day",5,IF(A1439="Working day",6,7))))))))</f>
        <v>1</v>
      </c>
      <c r="G1445" s="20">
        <f t="shared" ref="G1445" ca="1" si="308">(D1445/OFFSET(D1445,-7,0)-1)*365/7</f>
        <v>0.13961400439771915</v>
      </c>
      <c r="H1445" s="20">
        <f t="shared" ca="1" si="259"/>
        <v>0.13979692352187942</v>
      </c>
      <c r="I1445" s="20">
        <f t="shared" ca="1" si="260"/>
        <v>0.14102746010943792</v>
      </c>
      <c r="J1445" s="20">
        <f ca="1">($D1445/OFFSET($D1445,-180,0)-1)*365/180</f>
        <v>0.13907917623023783</v>
      </c>
      <c r="K1445" s="36">
        <v>14</v>
      </c>
    </row>
    <row r="1446" spans="1:11" x14ac:dyDescent="0.25">
      <c r="A1446" s="13" t="s">
        <v>7</v>
      </c>
      <c r="B1446" s="29">
        <v>46009</v>
      </c>
      <c r="C1446" s="20">
        <v>0.138013</v>
      </c>
      <c r="D1446" s="30">
        <f t="shared" ref="D1446" ca="1" si="309">+IF(F1446=1,D1445*(1+C1445*F1446/365),OFFSET(D1445,-F1446+1,0)*(1+C1445*F1446/365))</f>
        <v>173.34168140621634</v>
      </c>
      <c r="E1446" s="31">
        <f t="shared" ref="E1446" si="310">+E1445*(1+C1445*F1446/365)</f>
        <v>173.34168140621634</v>
      </c>
      <c r="F1446" s="32">
        <f t="shared" ref="F1446" si="311">IF(A1445="Working day",1,(IF(A1444="Working day",2,(IF(A1443="Working day",3,IF(A1442="Working day",4,IF(A1441="Working day",5,IF(A1440="Working day",6,7))))))))</f>
        <v>1</v>
      </c>
      <c r="G1446" s="20">
        <f t="shared" ref="G1446" ca="1" si="312">(D1446/OFFSET(D1446,-7,0)-1)*365/7</f>
        <v>0.13955830546027478</v>
      </c>
      <c r="H1446" s="20">
        <f t="shared" ca="1" si="259"/>
        <v>0.13976642193468045</v>
      </c>
      <c r="I1446" s="20">
        <f t="shared" ca="1" si="260"/>
        <v>0.14105990540387148</v>
      </c>
      <c r="J1446" s="20">
        <f ca="1">($D1446/OFFSET($D1446,-180,0)-1)*365/180</f>
        <v>0.13913315033260332</v>
      </c>
      <c r="K1446" s="36">
        <v>14</v>
      </c>
    </row>
    <row r="1447" spans="1:11" x14ac:dyDescent="0.25">
      <c r="A1447" s="13" t="s">
        <v>7</v>
      </c>
      <c r="B1447" s="29">
        <v>46010</v>
      </c>
      <c r="C1447" s="20">
        <v>0.13806299999999999</v>
      </c>
      <c r="D1447" s="30">
        <f t="shared" ref="D1447:D1450" ca="1" si="313">+IF(F1447=1,D1446*(1+C1446*F1447/365),OFFSET(D1446,-F1447+1,0)*(1+C1446*F1447/365))</f>
        <v>173.40722498286269</v>
      </c>
      <c r="E1447" s="31">
        <f t="shared" ref="E1447:E1449" si="314">+E1446*(1+C1446*F1447/365)</f>
        <v>173.40722498286269</v>
      </c>
      <c r="F1447" s="32">
        <f t="shared" ref="F1447:F1450" si="315">IF(A1446="Working day",1,(IF(A1445="Working day",2,(IF(A1444="Working day",3,IF(A1443="Working day",4,IF(A1442="Working day",5,IF(A1441="Working day",6,7))))))))</f>
        <v>1</v>
      </c>
      <c r="G1447" s="20">
        <f t="shared" ref="G1447:G1450" ca="1" si="316">(D1447/OFFSET(D1447,-7,0)-1)*365/7</f>
        <v>0.13932033248603007</v>
      </c>
      <c r="H1447" s="20">
        <f t="shared" ca="1" si="259"/>
        <v>0.13969945342247436</v>
      </c>
      <c r="I1447" s="20">
        <f t="shared" ca="1" si="260"/>
        <v>0.1410811220152095</v>
      </c>
      <c r="J1447" s="20">
        <f ca="1">($D1447/OFFSET($D1447,-180,0)-1)*365/180</f>
        <v>0.13918097920096129</v>
      </c>
      <c r="K1447" s="36">
        <v>14</v>
      </c>
    </row>
    <row r="1448" spans="1:11" x14ac:dyDescent="0.25">
      <c r="A1448" s="23" t="s">
        <v>6</v>
      </c>
      <c r="B1448" s="24">
        <v>46011</v>
      </c>
      <c r="C1448" s="28">
        <v>0.13806299999999999</v>
      </c>
      <c r="D1448" s="25">
        <f t="shared" ca="1" si="313"/>
        <v>173.47281709711697</v>
      </c>
      <c r="E1448" s="26">
        <f t="shared" si="314"/>
        <v>173.47281709711697</v>
      </c>
      <c r="F1448" s="27">
        <f t="shared" si="315"/>
        <v>1</v>
      </c>
      <c r="G1448" s="28">
        <f t="shared" ca="1" si="316"/>
        <v>0.13913147257256483</v>
      </c>
      <c r="H1448" s="28">
        <f t="shared" ca="1" si="259"/>
        <v>0.13963417043191234</v>
      </c>
      <c r="I1448" s="28">
        <f t="shared" ca="1" si="260"/>
        <v>0.14110349703131744</v>
      </c>
      <c r="J1448" s="28">
        <f t="shared" ref="J1448:J1470" ca="1" si="317">($D1448/OFFSET($D1448,-180,0)-1)*365/180</f>
        <v>0.1392293803633296</v>
      </c>
      <c r="K1448" s="36">
        <v>14</v>
      </c>
    </row>
    <row r="1449" spans="1:11" x14ac:dyDescent="0.25">
      <c r="A1449" s="23" t="s">
        <v>6</v>
      </c>
      <c r="B1449" s="24">
        <v>46012</v>
      </c>
      <c r="C1449" s="28">
        <v>0.13806299999999999</v>
      </c>
      <c r="D1449" s="25">
        <f t="shared" ca="1" si="313"/>
        <v>173.53840921137123</v>
      </c>
      <c r="E1449" s="26">
        <f t="shared" si="314"/>
        <v>173.60405094668891</v>
      </c>
      <c r="F1449" s="27">
        <f t="shared" si="315"/>
        <v>2</v>
      </c>
      <c r="G1449" s="28">
        <f t="shared" ca="1" si="316"/>
        <v>0.13894275678830884</v>
      </c>
      <c r="H1449" s="28">
        <f t="shared" ca="1" si="259"/>
        <v>0.13957063347379292</v>
      </c>
      <c r="I1449" s="28">
        <f t="shared" ca="1" si="260"/>
        <v>0.1411258553716272</v>
      </c>
      <c r="J1449" s="28">
        <f t="shared" ca="1" si="317"/>
        <v>0.13927692357782628</v>
      </c>
      <c r="K1449" s="36">
        <v>14</v>
      </c>
    </row>
    <row r="1450" spans="1:11" x14ac:dyDescent="0.25">
      <c r="A1450" s="13" t="s">
        <v>7</v>
      </c>
      <c r="B1450" s="29">
        <v>46013</v>
      </c>
      <c r="C1450" s="20">
        <v>0.138212</v>
      </c>
      <c r="D1450" s="30">
        <f t="shared" ca="1" si="313"/>
        <v>173.60400132562552</v>
      </c>
      <c r="E1450" s="31">
        <f>+E1447*(1+C1449*F1450/365)</f>
        <v>173.60400132562552</v>
      </c>
      <c r="F1450" s="32">
        <f t="shared" si="315"/>
        <v>3</v>
      </c>
      <c r="G1450" s="20">
        <f t="shared" ca="1" si="316"/>
        <v>0.13875418496836758</v>
      </c>
      <c r="H1450" s="20">
        <f t="shared" ca="1" si="259"/>
        <v>0.13950183370638111</v>
      </c>
      <c r="I1450" s="20">
        <f t="shared" ca="1" si="260"/>
        <v>0.14115149311454658</v>
      </c>
      <c r="J1450" s="20">
        <f t="shared" ca="1" si="317"/>
        <v>0.13932624741759245</v>
      </c>
      <c r="K1450" s="36">
        <v>14</v>
      </c>
    </row>
    <row r="1451" spans="1:11" x14ac:dyDescent="0.25">
      <c r="A1451" s="13" t="s">
        <v>7</v>
      </c>
      <c r="B1451" s="29">
        <v>46014</v>
      </c>
      <c r="C1451" s="20">
        <v>0.138184</v>
      </c>
      <c r="D1451" s="30">
        <f t="shared" ref="D1451" ca="1" si="318">+IF(F1451=1,D1450*(1+C1450*F1451/365),OFFSET(D1450,-F1451+1,0)*(1+C1450*F1451/365))</f>
        <v>173.66973873995761</v>
      </c>
      <c r="E1451" s="31">
        <f>+E1450*(1+C1450*F1451/365)</f>
        <v>173.66973873995761</v>
      </c>
      <c r="F1451" s="32">
        <f t="shared" ref="F1451" si="319">IF(A1450="Working day",1,(IF(A1449="Working day",2,(IF(A1448="Working day",3,IF(A1447="Working day",4,IF(A1446="Working day",5,IF(A1445="Working day",6,7))))))))</f>
        <v>1</v>
      </c>
      <c r="G1451" s="20">
        <f t="shared" ref="G1451" ca="1" si="320">(D1451/OFFSET(D1451,-7,0)-1)*365/7</f>
        <v>0.1385376930581807</v>
      </c>
      <c r="H1451" s="20">
        <f t="shared" ca="1" si="259"/>
        <v>0.13944338253314992</v>
      </c>
      <c r="I1451" s="20">
        <f t="shared" ca="1" si="260"/>
        <v>0.14116892878913123</v>
      </c>
      <c r="J1451" s="20">
        <f t="shared" ca="1" si="317"/>
        <v>0.13939860964550238</v>
      </c>
      <c r="K1451" s="36">
        <v>14</v>
      </c>
    </row>
    <row r="1452" spans="1:11" x14ac:dyDescent="0.25">
      <c r="A1452" s="13" t="s">
        <v>7</v>
      </c>
      <c r="B1452" s="29">
        <v>46015</v>
      </c>
      <c r="C1452" s="20">
        <v>0.13803599999999999</v>
      </c>
      <c r="D1452" s="30">
        <f t="shared" ref="D1452" ca="1" si="321">+IF(F1452=1,D1451*(1+C1451*F1452/365),OFFSET(D1451,-F1452+1,0)*(1+C1451*F1452/365))</f>
        <v>173.73548772400704</v>
      </c>
      <c r="E1452" s="31">
        <f>+E1451*(1+C1451*F1452/365)</f>
        <v>173.73548772400704</v>
      </c>
      <c r="F1452" s="32">
        <f t="shared" ref="F1452" si="322">IF(A1451="Working day",1,(IF(A1450="Working day",2,(IF(A1449="Working day",3,IF(A1448="Working day",4,IF(A1447="Working day",5,IF(A1446="Working day",6,7))))))))</f>
        <v>1</v>
      </c>
      <c r="G1452" s="20">
        <f t="shared" ref="G1452" ca="1" si="323">(D1452/OFFSET(D1452,-7,0)-1)*365/7</f>
        <v>0.13837661325182493</v>
      </c>
      <c r="H1452" s="20">
        <f t="shared" ca="1" si="259"/>
        <v>0.13938579565520898</v>
      </c>
      <c r="I1452" s="20">
        <f t="shared" ca="1" si="260"/>
        <v>0.14115783756777439</v>
      </c>
      <c r="J1452" s="20">
        <f t="shared" ca="1" si="317"/>
        <v>0.13944718459566999</v>
      </c>
      <c r="K1452" s="36">
        <v>14</v>
      </c>
    </row>
    <row r="1453" spans="1:11" x14ac:dyDescent="0.25">
      <c r="A1453" s="13" t="s">
        <v>7</v>
      </c>
      <c r="B1453" s="29">
        <v>46016</v>
      </c>
      <c r="C1453" s="20">
        <v>0.13433400000000001</v>
      </c>
      <c r="D1453" s="30">
        <f t="shared" ref="D1453" ca="1" si="324">+IF(F1453=1,D1452*(1+C1452*F1453/365),OFFSET(D1452,-F1453+1,0)*(1+C1452*F1453/365))</f>
        <v>173.8011911535508</v>
      </c>
      <c r="E1453" s="31">
        <f>+E1452*(1+C1452*F1453/365)</f>
        <v>173.8011911535508</v>
      </c>
      <c r="F1453" s="32">
        <f t="shared" ref="F1453" si="325">IF(A1452="Working day",1,(IF(A1451="Working day",2,(IF(A1450="Working day",3,IF(A1449="Working day",4,IF(A1448="Working day",5,IF(A1447="Working day",6,7))))))))</f>
        <v>1</v>
      </c>
      <c r="G1453" s="20">
        <f t="shared" ref="G1453" ca="1" si="326">(D1453/OFFSET(D1453,-7,0)-1)*365/7</f>
        <v>0.13822498383906431</v>
      </c>
      <c r="H1453" s="20">
        <f t="shared" ca="1" si="259"/>
        <v>0.13932941168692897</v>
      </c>
      <c r="I1453" s="20">
        <f t="shared" ca="1" si="260"/>
        <v>0.14115836626876294</v>
      </c>
      <c r="J1453" s="20">
        <f t="shared" ca="1" si="317"/>
        <v>0.13949488218227668</v>
      </c>
      <c r="K1453" s="36">
        <v>14</v>
      </c>
    </row>
    <row r="1454" spans="1:11" x14ac:dyDescent="0.25">
      <c r="A1454" s="13" t="s">
        <v>7</v>
      </c>
      <c r="B1454" s="29">
        <v>46017</v>
      </c>
      <c r="C1454" s="20">
        <v>0.13603699999999999</v>
      </c>
      <c r="D1454" s="30">
        <f t="shared" ref="D1454:D1456" ca="1" si="327">+IF(F1454=1,D1453*(1+C1453*F1454/365),OFFSET(D1453,-F1454+1,0)*(1+C1453*F1454/365))</f>
        <v>173.86515665824237</v>
      </c>
      <c r="E1454" s="31">
        <f>+E1453*(1+C1453*F1454/365)</f>
        <v>173.86515665824237</v>
      </c>
      <c r="F1454" s="32">
        <f t="shared" ref="F1454:F1456" si="328">IF(A1453="Working day",1,(IF(A1452="Working day",2,(IF(A1451="Working day",3,IF(A1450="Working day",4,IF(A1449="Working day",5,IF(A1448="Working day",6,7))))))))</f>
        <v>1</v>
      </c>
      <c r="G1454" s="20">
        <f t="shared" ref="G1454:G1456" ca="1" si="329">(D1454/OFFSET(D1454,-7,0)-1)*365/7</f>
        <v>0.1376982183578154</v>
      </c>
      <c r="H1454" s="20">
        <f t="shared" ca="1" si="259"/>
        <v>0.13916703444313222</v>
      </c>
      <c r="I1454" s="20">
        <f t="shared" ca="1" si="260"/>
        <v>0.14109437078925399</v>
      </c>
      <c r="J1454" s="20">
        <f t="shared" ca="1" si="317"/>
        <v>0.13952088188889353</v>
      </c>
      <c r="K1454" s="36">
        <v>14</v>
      </c>
    </row>
    <row r="1455" spans="1:11" x14ac:dyDescent="0.25">
      <c r="A1455" s="23" t="s">
        <v>6</v>
      </c>
      <c r="B1455" s="24">
        <v>46018</v>
      </c>
      <c r="C1455" s="28">
        <v>0.13603699999999999</v>
      </c>
      <c r="D1455" s="25">
        <f t="shared" ca="1" si="327"/>
        <v>173.92995691664325</v>
      </c>
      <c r="E1455" s="26">
        <f t="shared" ref="E1455:E1456" si="330">+E1454*(1+C1454*F1455/365)</f>
        <v>173.92995691664325</v>
      </c>
      <c r="F1455" s="27">
        <f t="shared" si="328"/>
        <v>1</v>
      </c>
      <c r="G1455" s="28">
        <f t="shared" ca="1" si="329"/>
        <v>0.13740813519229764</v>
      </c>
      <c r="H1455" s="28">
        <f t="shared" ca="1" si="259"/>
        <v>0.13907667990518113</v>
      </c>
      <c r="I1455" s="28">
        <f t="shared" ca="1" si="260"/>
        <v>0.14105056538348382</v>
      </c>
      <c r="J1455" s="28">
        <f t="shared" ca="1" si="317"/>
        <v>0.13955726493139306</v>
      </c>
      <c r="K1455" s="36">
        <v>14</v>
      </c>
    </row>
    <row r="1456" spans="1:11" x14ac:dyDescent="0.25">
      <c r="A1456" s="23" t="s">
        <v>6</v>
      </c>
      <c r="B1456" s="24">
        <v>46019</v>
      </c>
      <c r="C1456" s="28">
        <v>0.13603699999999999</v>
      </c>
      <c r="D1456" s="25">
        <f t="shared" ca="1" si="327"/>
        <v>173.9947571750441</v>
      </c>
      <c r="E1456" s="26">
        <f t="shared" si="330"/>
        <v>174.05960573609019</v>
      </c>
      <c r="F1456" s="27">
        <f t="shared" si="328"/>
        <v>2</v>
      </c>
      <c r="G1456" s="28">
        <f t="shared" ca="1" si="329"/>
        <v>0.13711827131159465</v>
      </c>
      <c r="H1456" s="28">
        <f t="shared" ca="1" si="259"/>
        <v>0.13896513862268922</v>
      </c>
      <c r="I1456" s="28">
        <f t="shared" ca="1" si="260"/>
        <v>0.14100679351976875</v>
      </c>
      <c r="J1456" s="28">
        <f t="shared" ca="1" si="317"/>
        <v>0.13959279845465633</v>
      </c>
      <c r="K1456" s="36">
        <v>14</v>
      </c>
    </row>
    <row r="1457" spans="1:11" x14ac:dyDescent="0.25">
      <c r="A1457" s="13" t="s">
        <v>7</v>
      </c>
      <c r="B1457" s="29">
        <v>46020</v>
      </c>
      <c r="C1457" s="20">
        <v>0.13694500000000001</v>
      </c>
      <c r="D1457" s="30">
        <f ca="1">+IF(F1457=1,D1456*(1+C1456*F1457/365),OFFSET(D1456,-F1457+1,0)*(1+C1456*F1457/365))</f>
        <v>174.05955743344498</v>
      </c>
      <c r="E1457" s="31">
        <f>+E1454*(1+C1456*F1457/365)</f>
        <v>174.05955743344498</v>
      </c>
      <c r="F1457" s="32">
        <f t="shared" ref="F1457:F1463" si="331">IF(A1456="Working day",1,(IF(A1455="Working day",2,(IF(A1454="Working day",3,IF(A1453="Working day",4,IF(A1452="Working day",5,IF(A1451="Working day",6,7))))))))</f>
        <v>3</v>
      </c>
      <c r="G1457" s="20">
        <f ca="1">(D1457/OFFSET(D1457,-7,0)-1)*365/7</f>
        <v>0.13682862646714905</v>
      </c>
      <c r="H1457" s="20">
        <f ca="1">($D1457/OFFSET($D1457,-30,0)-1)*365/30</f>
        <v>0.13885077942792579</v>
      </c>
      <c r="I1457" s="20">
        <f ca="1">($D1457/OFFSET($D1457,-90,0)-1)*365/90</f>
        <v>0.14094833640463034</v>
      </c>
      <c r="J1457" s="20">
        <f ca="1">($D1457/OFFSET($D1457,-180,0)-1)*365/180</f>
        <v>0.13966035978863992</v>
      </c>
      <c r="K1457" s="36">
        <v>14</v>
      </c>
    </row>
    <row r="1458" spans="1:11" x14ac:dyDescent="0.25">
      <c r="A1458" s="13" t="s">
        <v>7</v>
      </c>
      <c r="B1458" s="29">
        <v>46021</v>
      </c>
      <c r="C1458" s="20">
        <v>0.135181</v>
      </c>
      <c r="D1458" s="30">
        <f ca="1">+IF(F1458=1,D1457*(1+C1457*F1458/365),OFFSET(D1457,-F1458+1,0)*(1+C1457*F1458/365))</f>
        <v>174.1248631487675</v>
      </c>
      <c r="E1458" s="31">
        <f>+E1457*(1+C1457*F1458/365)</f>
        <v>174.1248631487675</v>
      </c>
      <c r="F1458" s="32">
        <f t="shared" si="331"/>
        <v>1</v>
      </c>
      <c r="G1458" s="20">
        <f t="shared" ref="G1458:G1464" ca="1" si="332">(D1458/OFFSET(D1458,-7,0)-1)*365/7</f>
        <v>0.1366472201949728</v>
      </c>
      <c r="H1458" s="20">
        <f t="shared" ca="1" si="259"/>
        <v>0.13877222821541413</v>
      </c>
      <c r="I1458" s="20">
        <f t="shared" ca="1" si="260"/>
        <v>0.14091196150509422</v>
      </c>
      <c r="J1458" s="20">
        <f t="shared" ca="1" si="317"/>
        <v>0.13971512039903439</v>
      </c>
      <c r="K1458" s="36">
        <v>14</v>
      </c>
    </row>
    <row r="1459" spans="1:11" x14ac:dyDescent="0.25">
      <c r="A1459" s="23" t="s">
        <v>6</v>
      </c>
      <c r="B1459" s="24">
        <v>46022</v>
      </c>
      <c r="C1459" s="28">
        <v>0.135181</v>
      </c>
      <c r="D1459" s="25">
        <f t="shared" ref="D1459:D1464" ca="1" si="333">+IF(F1459=1,D1458*(1+C1458*F1459/365),OFFSET(D1458,-F1459+1,0)*(1+C1458*F1459/365))</f>
        <v>174.18935184226149</v>
      </c>
      <c r="E1459" s="26">
        <f t="shared" ref="E1459:E1463" si="334">+E1458*(1+C1458*F1459/365)</f>
        <v>174.18935184226149</v>
      </c>
      <c r="F1459" s="27">
        <f t="shared" si="331"/>
        <v>1</v>
      </c>
      <c r="G1459" s="28">
        <f t="shared" ca="1" si="332"/>
        <v>0.13621725872151966</v>
      </c>
      <c r="H1459" s="28">
        <f t="shared" ca="1" si="259"/>
        <v>0.13863601982312393</v>
      </c>
      <c r="I1459" s="28">
        <f t="shared" ca="1" si="260"/>
        <v>0.14085593156305554</v>
      </c>
      <c r="J1459" s="28">
        <f t="shared" ca="1" si="317"/>
        <v>0.13977620498261586</v>
      </c>
      <c r="K1459" s="36">
        <v>14</v>
      </c>
    </row>
    <row r="1460" spans="1:11" x14ac:dyDescent="0.25">
      <c r="A1460" s="23" t="s">
        <v>6</v>
      </c>
      <c r="B1460" s="24">
        <v>46023</v>
      </c>
      <c r="C1460" s="28">
        <v>0.135181</v>
      </c>
      <c r="D1460" s="25">
        <f t="shared" ca="1" si="333"/>
        <v>174.25384053575553</v>
      </c>
      <c r="E1460" s="26">
        <f t="shared" si="334"/>
        <v>174.31837699717323</v>
      </c>
      <c r="F1460" s="27">
        <f t="shared" si="331"/>
        <v>2</v>
      </c>
      <c r="G1460" s="28">
        <f t="shared" ca="1" si="332"/>
        <v>0.13580132515462387</v>
      </c>
      <c r="H1460" s="28">
        <f t="shared" ca="1" si="259"/>
        <v>0.13848328864877948</v>
      </c>
      <c r="I1460" s="28">
        <f t="shared" ca="1" si="260"/>
        <v>0.14080565078822077</v>
      </c>
      <c r="J1460" s="28">
        <f t="shared" ca="1" si="317"/>
        <v>0.13981993241831769</v>
      </c>
      <c r="K1460" s="36">
        <v>14</v>
      </c>
    </row>
    <row r="1461" spans="1:11" x14ac:dyDescent="0.25">
      <c r="A1461" s="23" t="s">
        <v>6</v>
      </c>
      <c r="B1461" s="24">
        <v>46024</v>
      </c>
      <c r="C1461" s="28">
        <v>0.135181</v>
      </c>
      <c r="D1461" s="25">
        <f t="shared" ca="1" si="333"/>
        <v>174.31832922924954</v>
      </c>
      <c r="E1461" s="26">
        <f t="shared" si="334"/>
        <v>174.51205808638574</v>
      </c>
      <c r="F1461" s="27">
        <f t="shared" si="331"/>
        <v>3</v>
      </c>
      <c r="G1461" s="28">
        <f t="shared" ca="1" si="332"/>
        <v>0.13590826986419177</v>
      </c>
      <c r="H1461" s="28">
        <f t="shared" ca="1" si="259"/>
        <v>0.13831849463078097</v>
      </c>
      <c r="I1461" s="28">
        <f t="shared" ca="1" si="260"/>
        <v>0.14075023342031237</v>
      </c>
      <c r="J1461" s="28">
        <f t="shared" ca="1" si="317"/>
        <v>0.13986362926263571</v>
      </c>
      <c r="K1461" s="36">
        <v>14</v>
      </c>
    </row>
    <row r="1462" spans="1:11" x14ac:dyDescent="0.25">
      <c r="A1462" s="23" t="s">
        <v>6</v>
      </c>
      <c r="B1462" s="24">
        <v>46025</v>
      </c>
      <c r="C1462" s="28">
        <v>0.135181</v>
      </c>
      <c r="D1462" s="25">
        <f t="shared" ca="1" si="333"/>
        <v>174.38281792274353</v>
      </c>
      <c r="E1462" s="26">
        <f t="shared" si="334"/>
        <v>174.77058646473287</v>
      </c>
      <c r="F1462" s="27">
        <f t="shared" si="331"/>
        <v>4</v>
      </c>
      <c r="G1462" s="28">
        <f t="shared" ca="1" si="332"/>
        <v>0.13576423041359484</v>
      </c>
      <c r="H1462" s="28">
        <f t="shared" ca="1" si="259"/>
        <v>0.13817260883243995</v>
      </c>
      <c r="I1462" s="28">
        <f t="shared" ca="1" si="260"/>
        <v>0.14069485850235935</v>
      </c>
      <c r="J1462" s="28">
        <f t="shared" ca="1" si="317"/>
        <v>0.1399072955476629</v>
      </c>
      <c r="K1462" s="36">
        <v>14</v>
      </c>
    </row>
    <row r="1463" spans="1:11" x14ac:dyDescent="0.25">
      <c r="A1463" s="23" t="s">
        <v>6</v>
      </c>
      <c r="B1463" s="24">
        <v>46026</v>
      </c>
      <c r="C1463" s="28">
        <v>0.135181</v>
      </c>
      <c r="D1463" s="25">
        <f t="shared" ca="1" si="333"/>
        <v>174.44730661623754</v>
      </c>
      <c r="E1463" s="26">
        <f t="shared" si="334"/>
        <v>175.09422567910119</v>
      </c>
      <c r="F1463" s="27">
        <f t="shared" si="331"/>
        <v>5</v>
      </c>
      <c r="G1463" s="28">
        <f t="shared" ca="1" si="332"/>
        <v>0.13562029825123081</v>
      </c>
      <c r="H1463" s="28">
        <f t="shared" ca="1" si="259"/>
        <v>0.13801745978686744</v>
      </c>
      <c r="I1463" s="28">
        <f t="shared" ca="1" si="260"/>
        <v>0.14063952598560975</v>
      </c>
      <c r="J1463" s="28">
        <f t="shared" ca="1" si="317"/>
        <v>0.13997019657142001</v>
      </c>
      <c r="K1463" s="36">
        <v>14</v>
      </c>
    </row>
    <row r="1464" spans="1:11" x14ac:dyDescent="0.25">
      <c r="A1464" s="13" t="s">
        <v>7</v>
      </c>
      <c r="B1464" s="29">
        <v>46027</v>
      </c>
      <c r="C1464" s="20">
        <v>0.13955400000000001</v>
      </c>
      <c r="D1464" s="30">
        <f t="shared" ca="1" si="333"/>
        <v>174.51179530973158</v>
      </c>
      <c r="E1464" s="31">
        <f>+E1458*(1+C1463*F1464/365)</f>
        <v>174.51179530973158</v>
      </c>
      <c r="F1464" s="32">
        <f t="shared" ref="F1464" si="335">IF(A1463="Working day",1,(IF(A1462="Working day",2,(IF(A1461="Working day",3,IF(A1460="Working day",4,IF(A1459="Working day",5,IF(A1458="Working day",6,7))))))))</f>
        <v>6</v>
      </c>
      <c r="G1464" s="20">
        <f t="shared" ca="1" si="332"/>
        <v>0.13547647325725537</v>
      </c>
      <c r="H1464" s="20">
        <f t="shared" ca="1" si="259"/>
        <v>0.13799168465973019</v>
      </c>
      <c r="I1464" s="20">
        <f t="shared" ca="1" si="260"/>
        <v>0.14060160370028596</v>
      </c>
      <c r="J1464" s="20">
        <f t="shared" ca="1" si="317"/>
        <v>0.14004140618272065</v>
      </c>
      <c r="K1464" s="36">
        <v>14</v>
      </c>
    </row>
    <row r="1465" spans="1:11" x14ac:dyDescent="0.25">
      <c r="A1465" s="13" t="s">
        <v>7</v>
      </c>
      <c r="B1465" s="29">
        <v>46028</v>
      </c>
      <c r="C1465" s="20">
        <v>0.13946</v>
      </c>
      <c r="D1465" s="30">
        <f t="shared" ref="D1465" ca="1" si="336">+IF(F1465=1,D1464*(1+C1464*F1465/365),OFFSET(D1464,-F1465+1,0)*(1+C1464*F1465/365))</f>
        <v>174.57851810173887</v>
      </c>
      <c r="E1465" s="31">
        <f>+E1464*(1+C1464*F1465/365)</f>
        <v>174.57851810173887</v>
      </c>
      <c r="F1465" s="32">
        <f t="shared" ref="F1465" si="337">IF(A1464="Working day",1,(IF(A1463="Working day",2,(IF(A1462="Working day",3,IF(A1461="Working day",4,IF(A1460="Working day",5,IF(A1459="Working day",6,7))))))))</f>
        <v>1</v>
      </c>
      <c r="G1465" s="20">
        <f t="shared" ref="G1465" ca="1" si="338">(D1465/OFFSET(D1465,-7,0)-1)*365/7</f>
        <v>0.13585001577129766</v>
      </c>
      <c r="H1465" s="20">
        <f t="shared" ca="1" si="259"/>
        <v>0.13812339429510465</v>
      </c>
      <c r="I1465" s="20">
        <f t="shared" ca="1" si="260"/>
        <v>0.14071538835648165</v>
      </c>
      <c r="J1465" s="20">
        <f t="shared" ca="1" si="317"/>
        <v>0.14011309735402908</v>
      </c>
      <c r="K1465" s="36">
        <v>14</v>
      </c>
    </row>
    <row r="1466" spans="1:11" x14ac:dyDescent="0.25">
      <c r="A1466" s="13" t="s">
        <v>7</v>
      </c>
      <c r="B1466" s="29">
        <v>46029</v>
      </c>
      <c r="C1466" s="20">
        <v>0.13661599999999999</v>
      </c>
      <c r="D1466" s="30">
        <f t="shared" ref="D1466" ca="1" si="339">+IF(F1466=1,D1465*(1+C1465*F1466/365),OFFSET(D1465,-F1466+1,0)*(1+C1465*F1466/365))</f>
        <v>174.64522144457302</v>
      </c>
      <c r="E1466" s="31">
        <f>+E1465*(1+C1465*F1466/365)</f>
        <v>174.64522144457302</v>
      </c>
      <c r="F1466" s="32">
        <f t="shared" ref="F1466" si="340">IF(A1465="Working day",1,(IF(A1464="Working day",2,(IF(A1463="Working day",3,IF(A1462="Working day",4,IF(A1461="Working day",5,IF(A1460="Working day",6,7))))))))</f>
        <v>1</v>
      </c>
      <c r="G1466" s="20">
        <f t="shared" ref="G1466" ca="1" si="341">(D1466/OFFSET(D1466,-7,0)-1)*365/7</f>
        <v>0.13646266719350034</v>
      </c>
      <c r="H1466" s="20">
        <f t="shared" ca="1" si="259"/>
        <v>0.13825363578431016</v>
      </c>
      <c r="I1466" s="20">
        <f t="shared" ca="1" si="260"/>
        <v>0.14085643738029713</v>
      </c>
      <c r="J1466" s="20">
        <f t="shared" ca="1" si="317"/>
        <v>0.14017263087787116</v>
      </c>
      <c r="K1466" s="36">
        <v>14</v>
      </c>
    </row>
    <row r="1467" spans="1:11" x14ac:dyDescent="0.25">
      <c r="A1467" s="13" t="s">
        <v>7</v>
      </c>
      <c r="B1467" s="29">
        <v>46030</v>
      </c>
      <c r="C1467" s="20">
        <v>0.13813500000000001</v>
      </c>
      <c r="D1467" s="30">
        <f t="shared" ref="D1467" ca="1" si="342">+IF(F1467=1,D1466*(1+C1466*F1467/365),OFFSET(D1466,-F1467+1,0)*(1+C1466*F1467/365))</f>
        <v>174.71058947627952</v>
      </c>
      <c r="E1467" s="31">
        <f>+E1466*(1+C1466*F1467/365)</f>
        <v>174.71058947627952</v>
      </c>
      <c r="F1467" s="32">
        <f t="shared" ref="F1467" si="343">IF(A1466="Working day",1,(IF(A1465="Working day",2,(IF(A1464="Working day",3,IF(A1463="Working day",4,IF(A1462="Working day",5,IF(A1461="Working day",6,7))))))))</f>
        <v>1</v>
      </c>
      <c r="G1467" s="20">
        <f t="shared" ref="G1467" ca="1" si="344">(D1467/OFFSET(D1467,-7,0)-1)*365/7</f>
        <v>0.13667529325419178</v>
      </c>
      <c r="H1467" s="20">
        <f t="shared" ca="1" si="259"/>
        <v>0.13828973393018273</v>
      </c>
      <c r="I1467" s="20">
        <f t="shared" ca="1" si="260"/>
        <v>0.14092023442526547</v>
      </c>
      <c r="J1467" s="20">
        <f t="shared" ca="1" si="317"/>
        <v>0.14022456627868471</v>
      </c>
      <c r="K1467" s="36">
        <v>14</v>
      </c>
    </row>
    <row r="1468" spans="1:11" x14ac:dyDescent="0.25">
      <c r="A1468" s="13" t="s">
        <v>7</v>
      </c>
      <c r="B1468" s="29">
        <v>46031</v>
      </c>
      <c r="C1468" s="20">
        <v>0.13720099999999999</v>
      </c>
      <c r="D1468" s="30">
        <f t="shared" ref="D1468:D1470" ca="1" si="345">+IF(F1468=1,D1467*(1+C1467*F1468/365),OFFSET(D1467,-F1468+1,0)*(1+C1467*F1468/365))</f>
        <v>174.77670905786118</v>
      </c>
      <c r="E1468" s="31">
        <f>+E1467*(1+C1467*F1468/365)</f>
        <v>174.77670905786118</v>
      </c>
      <c r="F1468" s="32">
        <f t="shared" ref="F1468:F1470" si="346">IF(A1467="Working day",1,(IF(A1466="Working day",2,(IF(A1465="Working day",3,IF(A1464="Working day",4,IF(A1463="Working day",5,IF(A1462="Working day",6,7))))))))</f>
        <v>1</v>
      </c>
      <c r="G1468" s="20">
        <f t="shared" ref="G1468:G1470" ca="1" si="347">(D1468/OFFSET(D1468,-7,0)-1)*365/7</f>
        <v>0.13711256886262765</v>
      </c>
      <c r="H1468" s="20">
        <f t="shared" ca="1" si="259"/>
        <v>0.13825674225152026</v>
      </c>
      <c r="I1468" s="20">
        <f t="shared" ca="1" si="260"/>
        <v>0.14096714874080055</v>
      </c>
      <c r="J1468" s="20">
        <f t="shared" ca="1" si="317"/>
        <v>0.140285788114036</v>
      </c>
      <c r="K1468" s="36">
        <v>14</v>
      </c>
    </row>
    <row r="1469" spans="1:11" x14ac:dyDescent="0.25">
      <c r="A1469" s="23" t="s">
        <v>6</v>
      </c>
      <c r="B1469" s="24">
        <v>46032</v>
      </c>
      <c r="C1469" s="28">
        <v>0.13720099999999999</v>
      </c>
      <c r="D1469" s="25">
        <f t="shared" ca="1" si="345"/>
        <v>174.84240642569529</v>
      </c>
      <c r="E1469" s="26">
        <f t="shared" ref="E1469" si="348">+E1468*(1+C1468*F1469/365)</f>
        <v>174.84240642569529</v>
      </c>
      <c r="F1469" s="27">
        <f t="shared" si="346"/>
        <v>1</v>
      </c>
      <c r="G1469" s="28">
        <f t="shared" ca="1" si="347"/>
        <v>0.13742327334410989</v>
      </c>
      <c r="H1469" s="28">
        <f t="shared" ca="1" si="259"/>
        <v>0.13817980688469772</v>
      </c>
      <c r="I1469" s="28">
        <f t="shared" ca="1" si="260"/>
        <v>0.14100389466624971</v>
      </c>
      <c r="J1469" s="28">
        <f t="shared" ca="1" si="317"/>
        <v>0.14034173147084883</v>
      </c>
      <c r="K1469" s="36">
        <v>14</v>
      </c>
    </row>
    <row r="1470" spans="1:11" x14ac:dyDescent="0.25">
      <c r="A1470" s="23" t="s">
        <v>6</v>
      </c>
      <c r="B1470" s="24">
        <v>46033</v>
      </c>
      <c r="C1470" s="28">
        <v>0.13720099999999999</v>
      </c>
      <c r="D1470" s="25">
        <f t="shared" ca="1" si="345"/>
        <v>174.90810379352939</v>
      </c>
      <c r="E1470" s="26">
        <f>+E1469*(1+C1469*F1470/365)</f>
        <v>174.97385055174468</v>
      </c>
      <c r="F1470" s="27">
        <f t="shared" si="346"/>
        <v>2</v>
      </c>
      <c r="G1470" s="28">
        <f t="shared" ca="1" si="347"/>
        <v>0.13773374810662448</v>
      </c>
      <c r="H1470" s="28">
        <f t="shared" ca="1" si="259"/>
        <v>0.13809469822445514</v>
      </c>
      <c r="I1470" s="28">
        <f t="shared" ca="1" si="260"/>
        <v>0.1410406136301659</v>
      </c>
      <c r="J1470" s="28">
        <f t="shared" ca="1" si="317"/>
        <v>0.14038769977889923</v>
      </c>
      <c r="K1470" s="36">
        <v>14</v>
      </c>
    </row>
    <row r="1471" spans="1:11" x14ac:dyDescent="0.25">
      <c r="A1471" s="13" t="s">
        <v>7</v>
      </c>
      <c r="B1471" s="29">
        <v>46034</v>
      </c>
      <c r="C1471" s="20">
        <v>0.13523099999999999</v>
      </c>
      <c r="D1471" s="30">
        <f ca="1">+IF(F1471=1,D1470*(1+C1470*F1471/365),OFFSET(D1470,-F1471+1,0)*(1+C1470*F1471/365))</f>
        <v>174.97380116136347</v>
      </c>
      <c r="E1471" s="31">
        <f>+E1468*(1+C1470*F1471/365)</f>
        <v>174.97380116136347</v>
      </c>
      <c r="F1471" s="32">
        <f>IF(A1470="Working day",1,(IF(A1469="Working day",2,(IF(A1468="Working day",3,IF(A1467="Working day",4,IF(A1466="Working day",5,IF(A1465="Working day",6,7))))))))</f>
        <v>3</v>
      </c>
      <c r="G1471" s="20">
        <f ca="1">(D1471/OFFSET(D1471,-7,0)-1)*365/7</f>
        <v>0.13804399340485354</v>
      </c>
      <c r="H1471" s="20">
        <f ca="1">($D1471/OFFSET($D1471,-30,0)-1)*365/30</f>
        <v>0.13801772784728722</v>
      </c>
      <c r="I1471" s="20">
        <f ca="1">($D1471/OFFSET($D1471,-90,0)-1)*365/90</f>
        <v>0.14101621290852434</v>
      </c>
      <c r="J1471" s="20">
        <f ca="1">($D1471/OFFSET($D1471,-180,0)-1)*365/180</f>
        <v>0.14044840472560927</v>
      </c>
      <c r="K1471" s="36">
        <v>14</v>
      </c>
    </row>
    <row r="1472" spans="1:11" x14ac:dyDescent="0.25">
      <c r="A1472" s="13" t="s">
        <v>7</v>
      </c>
      <c r="B1472" s="29">
        <v>46035</v>
      </c>
      <c r="C1472" s="20">
        <v>0.13487199999999999</v>
      </c>
      <c r="D1472" s="30">
        <f ca="1">+IF(F1472=1,D1471*(1+C1471*F1472/365),OFFSET(D1471,-F1472+1,0)*(1+C1471*F1472/365))</f>
        <v>175.03862823562332</v>
      </c>
      <c r="E1472" s="31">
        <f>+E1471*(1+C1471*F1472/365)</f>
        <v>175.03862823562332</v>
      </c>
      <c r="F1472" s="32">
        <f>IF(A1471="Working day",1,(IF(A1470="Working day",2,(IF(A1469="Working day",3,IF(A1468="Working day",4,IF(A1467="Working day",5,IF(A1466="Working day",6,7))))))))</f>
        <v>1</v>
      </c>
      <c r="G1472" s="20">
        <f ca="1">(D1472/OFFSET(D1472,-7,0)-1)*365/7</f>
        <v>0.13742502366262557</v>
      </c>
      <c r="H1472" s="20">
        <f ca="1">($D1472/OFFSET($D1472,-30,0)-1)*365/30</f>
        <v>0.13787963789968144</v>
      </c>
      <c r="I1472" s="20">
        <f ca="1">($D1472/OFFSET($D1472,-90,0)-1)*365/90</f>
        <v>0.14096870056295535</v>
      </c>
      <c r="J1472" s="20">
        <f ca="1">($D1472/OFFSET($D1472,-180,0)-1)*365/180</f>
        <v>0.14049735990362966</v>
      </c>
      <c r="K1472" s="36">
        <v>14</v>
      </c>
    </row>
    <row r="1473" spans="1:11" x14ac:dyDescent="0.25">
      <c r="A1473" s="13" t="s">
        <v>7</v>
      </c>
      <c r="B1473" s="29">
        <v>46036</v>
      </c>
      <c r="C1473" s="20">
        <v>0.13398199999999999</v>
      </c>
      <c r="D1473" s="30">
        <f ca="1">+IF(F1473=1,D1472*(1+C1472*F1473/365),OFFSET(D1472,-F1473+1,0)*(1+C1472*F1473/365))</f>
        <v>175.10330716676685</v>
      </c>
      <c r="E1473" s="31">
        <f>+E1472*(1+C1472*F1473/365)</f>
        <v>175.10330716676685</v>
      </c>
      <c r="F1473" s="32">
        <f>IF(A1472="Working day",1,(IF(A1471="Working day",2,(IF(A1470="Working day",3,IF(A1469="Working day",4,IF(A1468="Working day",5,IF(A1467="Working day",6,7))))))))</f>
        <v>1</v>
      </c>
      <c r="G1473" s="20">
        <f ca="1">(D1473/OFFSET(D1473,-7,0)-1)*365/7</f>
        <v>0.13676811866917302</v>
      </c>
      <c r="H1473" s="20">
        <f ca="1">($D1473/OFFSET($D1473,-30,0)-1)*365/30</f>
        <v>0.13773124337333059</v>
      </c>
      <c r="I1473" s="20">
        <f ca="1">($D1473/OFFSET($D1473,-90,0)-1)*365/90</f>
        <v>0.14091624680196257</v>
      </c>
      <c r="J1473" s="20">
        <f ca="1">($D1473/OFFSET($D1473,-180,0)-1)*365/180</f>
        <v>0.14053290112526662</v>
      </c>
      <c r="K1473" s="36">
        <v>14</v>
      </c>
    </row>
    <row r="1474" spans="1:11" x14ac:dyDescent="0.25">
      <c r="A1474" s="13" t="s">
        <v>7</v>
      </c>
      <c r="B1474" s="29">
        <v>46037</v>
      </c>
      <c r="C1474" s="20">
        <v>0.133912</v>
      </c>
      <c r="D1474" s="30">
        <f t="shared" ref="D1474:D1478" ca="1" si="349">+IF(F1474=1,D1473*(1+C1473*F1474/365),OFFSET(D1473,-F1474+1,0)*(1+C1473*F1474/365))</f>
        <v>175.16758303334444</v>
      </c>
      <c r="E1474" s="31">
        <f t="shared" ref="E1474:E1477" si="350">+E1473*(1+C1473*F1474/365)</f>
        <v>175.16758303334444</v>
      </c>
      <c r="F1474" s="32">
        <f>IF(A1473="Working day",1,(IF(A1472="Working day",2,(IF(A1471="Working day",3,IF(A1470="Working day",4,IF(A1469="Working day",5,IF(A1468="Working day",6,7))))))))</f>
        <v>1</v>
      </c>
      <c r="G1474" s="20">
        <f ca="1">(D1474/OFFSET(D1474,-7,0)-1)*365/7</f>
        <v>0.13639098713290418</v>
      </c>
      <c r="H1474" s="20">
        <f ca="1">($D1474/OFFSET($D1474,-30,0)-1)*365/30</f>
        <v>0.13753775072337962</v>
      </c>
      <c r="I1474" s="20">
        <f ca="1">($D1474/OFFSET($D1474,-90,0)-1)*365/90</f>
        <v>0.14084802567523641</v>
      </c>
      <c r="J1474" s="20">
        <f ca="1">($D1474/OFFSET($D1474,-180,0)-1)*365/180</f>
        <v>0.14057586628158777</v>
      </c>
      <c r="K1474" s="36">
        <v>14</v>
      </c>
    </row>
    <row r="1475" spans="1:11" x14ac:dyDescent="0.25">
      <c r="A1475" s="13" t="s">
        <v>7</v>
      </c>
      <c r="B1475" s="29">
        <v>46038</v>
      </c>
      <c r="C1475" s="20">
        <v>0.132994</v>
      </c>
      <c r="D1475" s="30">
        <f t="shared" ca="1" si="349"/>
        <v>175.23184890013667</v>
      </c>
      <c r="E1475" s="31">
        <f t="shared" si="350"/>
        <v>175.23184890013667</v>
      </c>
      <c r="F1475" s="32">
        <f>IF(A1474="Working day",1,(IF(A1473="Working day",2,(IF(A1472="Working day",3,IF(A1471="Working day",4,IF(A1470="Working day",5,IF(A1469="Working day",6,7))))))))</f>
        <v>1</v>
      </c>
      <c r="G1475" s="20">
        <f ca="1">(D1475/OFFSET(D1475,-7,0)-1)*365/7</f>
        <v>0.13578635221890845</v>
      </c>
      <c r="H1475" s="20">
        <f ca="1">($D1475/OFFSET($D1475,-30,0)-1)*365/30</f>
        <v>0.13735588646060604</v>
      </c>
      <c r="I1475" s="20">
        <f ca="1">($D1475/OFFSET($D1475,-90,0)-1)*365/90</f>
        <v>0.14077838058663397</v>
      </c>
      <c r="J1475" s="20">
        <f ca="1">($D1475/OFFSET($D1475,-180,0)-1)*365/180</f>
        <v>0.1406186778773707</v>
      </c>
      <c r="K1475" s="36">
        <v>14</v>
      </c>
    </row>
    <row r="1476" spans="1:11" x14ac:dyDescent="0.25">
      <c r="A1476" s="23" t="s">
        <v>6</v>
      </c>
      <c r="B1476" s="24">
        <v>46039</v>
      </c>
      <c r="C1476" s="28">
        <v>0.132994</v>
      </c>
      <c r="D1476" s="25">
        <f t="shared" ca="1" si="349"/>
        <v>175.29569762482876</v>
      </c>
      <c r="E1476" s="26">
        <f t="shared" si="350"/>
        <v>175.29569762482876</v>
      </c>
      <c r="F1476" s="27">
        <f t="shared" ref="F1476:F1477" si="351">IF(A1475="Working day",1,(IF(A1474="Working day",2,(IF(A1473="Working day",3,IF(A1472="Working day",4,IF(A1471="Working day",5,IF(A1470="Working day",6,7))))))))</f>
        <v>1</v>
      </c>
      <c r="G1476" s="28">
        <f t="shared" ref="G1476:G1477" ca="1" si="352">(D1476/OFFSET(D1476,-7,0)-1)*365/7</f>
        <v>0.13518401355666382</v>
      </c>
      <c r="H1476" s="28">
        <f t="shared" ref="H1476:H1477" ca="1" si="353">($D1476/OFFSET($D1476,-30,0)-1)*365/30</f>
        <v>0.13715030222537739</v>
      </c>
      <c r="I1476" s="28">
        <f t="shared" ref="I1476:I1477" ca="1" si="354">($D1476/OFFSET($D1476,-90,0)-1)*365/90</f>
        <v>0.14069880326343615</v>
      </c>
      <c r="J1476" s="28">
        <f t="shared" ref="J1476:J1477" ca="1" si="355">($D1476/OFFSET($D1476,-180,0)-1)*365/180</f>
        <v>0.14065629966090781</v>
      </c>
      <c r="K1476" s="36">
        <v>14</v>
      </c>
    </row>
    <row r="1477" spans="1:11" x14ac:dyDescent="0.25">
      <c r="A1477" s="23" t="s">
        <v>6</v>
      </c>
      <c r="B1477" s="24">
        <v>46040</v>
      </c>
      <c r="C1477" s="28">
        <v>0.132994</v>
      </c>
      <c r="D1477" s="25">
        <f t="shared" ca="1" si="349"/>
        <v>175.35954634952091</v>
      </c>
      <c r="E1477" s="26">
        <f t="shared" si="350"/>
        <v>175.42344160296528</v>
      </c>
      <c r="F1477" s="27">
        <f t="shared" si="351"/>
        <v>2</v>
      </c>
      <c r="G1477" s="28">
        <f t="shared" ca="1" si="352"/>
        <v>0.13458212738421055</v>
      </c>
      <c r="H1477" s="28">
        <f t="shared" ca="1" si="353"/>
        <v>0.13697954797840406</v>
      </c>
      <c r="I1477" s="28">
        <f t="shared" ca="1" si="354"/>
        <v>0.14061928690351366</v>
      </c>
      <c r="J1477" s="28">
        <f t="shared" ca="1" si="355"/>
        <v>0.14068551015744254</v>
      </c>
      <c r="K1477" s="36">
        <v>14</v>
      </c>
    </row>
    <row r="1478" spans="1:11" x14ac:dyDescent="0.25">
      <c r="A1478" s="13" t="s">
        <v>7</v>
      </c>
      <c r="B1478" s="29">
        <v>46041</v>
      </c>
      <c r="C1478" s="20">
        <v>0.137679</v>
      </c>
      <c r="D1478" s="30">
        <f t="shared" ca="1" si="349"/>
        <v>175.42339507421303</v>
      </c>
      <c r="E1478" s="31">
        <f>+E1475*(1+C1477*F1478/365)</f>
        <v>175.42339507421303</v>
      </c>
      <c r="F1478" s="32">
        <f>IF(A1477="Working day",1,(IF(A1476="Working day",2,(IF(A1475="Working day",3,IF(A1474="Working day",4,IF(A1473="Working day",5,IF(A1472="Working day",6,7))))))))</f>
        <v>3</v>
      </c>
      <c r="G1478" s="20">
        <f ca="1">(D1478/OFFSET(D1478,-7,0)-1)*365/7</f>
        <v>0.13398069319184858</v>
      </c>
      <c r="H1478" s="20">
        <f ca="1">($D1478/OFFSET($D1478,-30,0)-1)*365/30</f>
        <v>0.13680548025793904</v>
      </c>
      <c r="I1478" s="20">
        <f ca="1">($D1478/OFFSET($D1478,-90,0)-1)*365/90</f>
        <v>0.1405376612622215</v>
      </c>
      <c r="J1478" s="20">
        <f ca="1">($D1478/OFFSET($D1478,-180,0)-1)*365/180</f>
        <v>0.14071351302689239</v>
      </c>
      <c r="K1478" s="36">
        <v>14</v>
      </c>
    </row>
    <row r="1479" spans="1:11" x14ac:dyDescent="0.25">
      <c r="A1479" s="13" t="s">
        <v>7</v>
      </c>
      <c r="B1479" s="29">
        <v>46042</v>
      </c>
      <c r="C1479" s="20">
        <v>0.137928</v>
      </c>
      <c r="D1479" s="30">
        <f ca="1">+IF(F1479=1,D1478*(1+C1478*F1479/365),OFFSET(D1478,-F1479+1,0)*(1+C1478*F1479/365))</f>
        <v>175.48956525944706</v>
      </c>
      <c r="E1479" s="31">
        <f>+E1478*(1+C1478*F1479/365)</f>
        <v>175.48956525944706</v>
      </c>
      <c r="F1479" s="32">
        <f>IF(A1478="Working day",1,(IF(A1477="Working day",2,(IF(A1476="Working day",3,IF(A1475="Working day",4,IF(A1474="Working day",5,IF(A1473="Working day",6,7))))))))</f>
        <v>1</v>
      </c>
      <c r="G1479" s="20">
        <f ca="1">(D1479/OFFSET(D1479,-7,0)-1)*365/7</f>
        <v>0.13433117621336699</v>
      </c>
      <c r="H1479" s="20">
        <f ca="1">($D1479/OFFSET($D1479,-30,0)-1)*365/30</f>
        <v>0.13679430023283776</v>
      </c>
      <c r="I1479" s="20">
        <f ca="1">($D1479/OFFSET($D1479,-90,0)-1)*365/90</f>
        <v>0.14051234495520487</v>
      </c>
      <c r="J1479" s="20">
        <f ca="1">($D1479/OFFSET($D1479,-180,0)-1)*365/180</f>
        <v>0.14077127564441078</v>
      </c>
      <c r="K1479" s="36">
        <v>14</v>
      </c>
    </row>
    <row r="1480" spans="1:11" x14ac:dyDescent="0.25">
      <c r="A1480" s="13" t="s">
        <v>7</v>
      </c>
      <c r="B1480" s="29">
        <v>46043</v>
      </c>
      <c r="C1480" s="20">
        <v>0.13793</v>
      </c>
      <c r="D1480" s="30">
        <f ca="1">+IF(F1480=1,D1479*(1+C1479*F1480/365),OFFSET(D1479,-F1480+1,0)*(1+C1479*F1480/365))</f>
        <v>175.5558801217953</v>
      </c>
      <c r="E1480" s="31">
        <f>+E1479*(1+C1479*F1480/365)</f>
        <v>175.5558801217953</v>
      </c>
      <c r="F1480" s="32">
        <f>IF(A1479="Working day",1,(IF(A1478="Working day",2,(IF(A1477="Working day",3,IF(A1476="Working day",4,IF(A1475="Working day",5,IF(A1474="Working day",6,7))))))))</f>
        <v>1</v>
      </c>
      <c r="G1480" s="20">
        <f ca="1">(D1480/OFFSET(D1480,-7,0)-1)*365/7</f>
        <v>0.13476871066915116</v>
      </c>
      <c r="H1480" s="20">
        <f ca="1">($D1480/OFFSET($D1480,-30,0)-1)*365/30</f>
        <v>0.13679326804333919</v>
      </c>
      <c r="I1480" s="20">
        <f ca="1">($D1480/OFFSET($D1480,-90,0)-1)*365/90</f>
        <v>0.14048971785319811</v>
      </c>
      <c r="J1480" s="20">
        <f ca="1">($D1480/OFFSET($D1480,-180,0)-1)*365/180</f>
        <v>0.14081986951699879</v>
      </c>
      <c r="K1480" s="36">
        <v>14</v>
      </c>
    </row>
    <row r="1481" spans="1:11" x14ac:dyDescent="0.25">
      <c r="A1481" s="13" t="s">
        <v>7</v>
      </c>
      <c r="B1481" s="29">
        <v>46044</v>
      </c>
      <c r="C1481" s="20">
        <v>0.138459</v>
      </c>
      <c r="D1481" s="30">
        <f ca="1">+IF(F1481=1,D1480*(1+C1480*F1481/365),OFFSET(D1480,-F1481+1,0)*(1+C1480*F1481/365))</f>
        <v>175.62222100548075</v>
      </c>
      <c r="E1481" s="31">
        <f>+E1480*(1+C1480*F1481/365)</f>
        <v>175.62222100548075</v>
      </c>
      <c r="F1481" s="32">
        <f>IF(A1480="Working day",1,(IF(A1479="Working day",2,(IF(A1478="Working day",3,IF(A1477="Working day",4,IF(A1476="Working day",5,IF(A1475="Working day",6,7))))))))</f>
        <v>1</v>
      </c>
      <c r="G1481" s="20">
        <f ca="1">(D1481/OFFSET(D1481,-7,0)-1)*365/7</f>
        <v>0.13533396089794408</v>
      </c>
      <c r="H1481" s="20">
        <f ca="1">($D1481/OFFSET($D1481,-30,0)-1)*365/30</f>
        <v>0.13678376595457417</v>
      </c>
      <c r="I1481" s="20">
        <f ca="1">($D1481/OFFSET($D1481,-90,0)-1)*365/90</f>
        <v>0.14046593022731152</v>
      </c>
      <c r="J1481" s="20">
        <f ca="1">($D1481/OFFSET($D1481,-180,0)-1)*365/180</f>
        <v>0.14086696775418267</v>
      </c>
      <c r="K1481" s="36">
        <v>14</v>
      </c>
    </row>
    <row r="1482" spans="1:11" x14ac:dyDescent="0.25">
      <c r="A1482" s="13" t="s">
        <v>7</v>
      </c>
      <c r="B1482" s="29">
        <v>46045</v>
      </c>
      <c r="C1482" s="20">
        <v>0.138128</v>
      </c>
      <c r="D1482" s="30">
        <f ca="1">+IF(F1482=1,D1481*(1+C1481*F1482/365),OFFSET(D1481,-F1482+1,0)*(1+C1481*F1482/365))</f>
        <v>175.68884149068131</v>
      </c>
      <c r="E1482" s="31">
        <f>+E1481*(1+C1481*F1482/365)</f>
        <v>175.68884149068131</v>
      </c>
      <c r="F1482" s="32">
        <f>IF(A1481="Working day",1,(IF(A1480="Working day",2,(IF(A1479="Working day",3,IF(A1478="Working day",4,IF(A1477="Working day",5,IF(A1476="Working day",6,7))))))))</f>
        <v>1</v>
      </c>
      <c r="G1482" s="20">
        <f ca="1">(D1482/OFFSET(D1482,-7,0)-1)*365/7</f>
        <v>0.13598497940687698</v>
      </c>
      <c r="H1482" s="20">
        <f ca="1">($D1482/OFFSET($D1482,-30,0)-1)*365/30</f>
        <v>0.13679303216944219</v>
      </c>
      <c r="I1482" s="20">
        <f ca="1">($D1482/OFFSET($D1482,-90,0)-1)*365/90</f>
        <v>0.14045525456730779</v>
      </c>
      <c r="J1482" s="20">
        <f ca="1">($D1482/OFFSET($D1482,-180,0)-1)*365/180</f>
        <v>0.14091748385451119</v>
      </c>
      <c r="K1482" s="36">
        <v>14</v>
      </c>
    </row>
    <row r="1483" spans="1:11" x14ac:dyDescent="0.25">
      <c r="A1483" s="23" t="s">
        <v>6</v>
      </c>
      <c r="B1483" s="24">
        <v>46046</v>
      </c>
      <c r="C1483" s="28">
        <v>0.138128</v>
      </c>
      <c r="D1483" s="25">
        <f t="shared" ref="D1483:D1484" ca="1" si="356">+IF(F1483=1,D1482*(1+C1482*F1483/365),OFFSET(D1482,-F1483+1,0)*(1+C1482*F1483/365))</f>
        <v>175.75532792437286</v>
      </c>
      <c r="E1483" s="26">
        <f t="shared" ref="E1483:E1484" si="357">+E1482*(1+C1482*F1483/365)</f>
        <v>175.75532792437286</v>
      </c>
      <c r="F1483" s="27">
        <f t="shared" ref="F1483:F1484" si="358">IF(A1482="Working day",1,(IF(A1481="Working day",2,(IF(A1480="Working day",3,IF(A1479="Working day",4,IF(A1478="Working day",5,IF(A1477="Working day",6,7))))))))</f>
        <v>1</v>
      </c>
      <c r="G1483" s="28">
        <f t="shared" ref="G1483:G1484" ca="1" si="359">(D1483/OFFSET(D1483,-7,0)-1)*365/7</f>
        <v>0.13672005287288466</v>
      </c>
      <c r="H1483" s="28">
        <f t="shared" ref="H1483:H1484" ca="1" si="360">($D1483/OFFSET($D1483,-30,0)-1)*365/30</f>
        <v>0.13679613214309461</v>
      </c>
      <c r="I1483" s="28">
        <f t="shared" ref="I1483:I1484" ca="1" si="361">($D1483/OFFSET($D1483,-90,0)-1)*365/90</f>
        <v>0.14044138669824019</v>
      </c>
      <c r="J1483" s="28">
        <f t="shared" ref="J1483:J1484" ca="1" si="362">($D1483/OFFSET($D1483,-180,0)-1)*365/180</f>
        <v>0.14096630987202352</v>
      </c>
      <c r="K1483" s="36">
        <v>14</v>
      </c>
    </row>
    <row r="1484" spans="1:11" x14ac:dyDescent="0.25">
      <c r="A1484" s="23" t="s">
        <v>6</v>
      </c>
      <c r="B1484" s="24">
        <v>46047</v>
      </c>
      <c r="C1484" s="28">
        <v>0.138128</v>
      </c>
      <c r="D1484" s="25">
        <f t="shared" ca="1" si="356"/>
        <v>175.82181435806447</v>
      </c>
      <c r="E1484" s="26">
        <f t="shared" si="357"/>
        <v>175.88835111306076</v>
      </c>
      <c r="F1484" s="27">
        <f t="shared" si="358"/>
        <v>2</v>
      </c>
      <c r="G1484" s="28">
        <f t="shared" ca="1" si="359"/>
        <v>0.13745459105577498</v>
      </c>
      <c r="H1484" s="28">
        <f t="shared" ca="1" si="360"/>
        <v>0.13692221300727037</v>
      </c>
      <c r="I1484" s="28">
        <f t="shared" ca="1" si="361"/>
        <v>0.14042752940891176</v>
      </c>
      <c r="J1484" s="28">
        <f t="shared" ca="1" si="362"/>
        <v>0.14101709243884719</v>
      </c>
      <c r="K1484" s="36">
        <v>14</v>
      </c>
    </row>
    <row r="1485" spans="1:11" x14ac:dyDescent="0.25">
      <c r="A1485" s="13" t="s">
        <v>7</v>
      </c>
      <c r="B1485" s="29">
        <v>46048</v>
      </c>
      <c r="C1485" s="20">
        <v>0.13804</v>
      </c>
      <c r="D1485" s="30">
        <f ca="1">+IF(F1485=1,D1484*(1+C1484*F1485/365),OFFSET(D1484,-F1485+1,0)*(1+C1484*F1485/365))</f>
        <v>175.88830079175602</v>
      </c>
      <c r="E1485" s="31">
        <f>+E1482*(1+C1484*F1485/365)</f>
        <v>175.88830079175602</v>
      </c>
      <c r="F1485" s="32">
        <f>IF(A1484="Working day",1,(IF(A1483="Working day",2,(IF(A1482="Working day",3,IF(A1481="Working day",4,IF(A1480="Working day",5,IF(A1479="Working day",6,7))))))))</f>
        <v>3</v>
      </c>
      <c r="G1485" s="20">
        <f ca="1">(D1485/OFFSET(D1485,-7,0)-1)*365/7</f>
        <v>0.13818859454000743</v>
      </c>
      <c r="H1485" s="20">
        <f ca="1">($D1485/OFFSET($D1485,-30,0)-1)*365/30</f>
        <v>0.13698915109042609</v>
      </c>
      <c r="I1485" s="20">
        <f ca="1">($D1485/OFFSET($D1485,-90,0)-1)*365/90</f>
        <v>0.14041181524233978</v>
      </c>
      <c r="J1485" s="20">
        <f ca="1">($D1485/OFFSET($D1485,-180,0)-1)*365/180</f>
        <v>0.14106871068681706</v>
      </c>
      <c r="K1485" s="36">
        <v>14</v>
      </c>
    </row>
    <row r="1486" spans="1:11" x14ac:dyDescent="0.25">
      <c r="A1486" s="13" t="s">
        <v>7</v>
      </c>
      <c r="B1486" s="29">
        <v>46049</v>
      </c>
      <c r="C1486" s="20">
        <v>0.138264</v>
      </c>
      <c r="D1486" s="30">
        <f ca="1">+IF(F1486=1,D1485*(1+C1485*F1486/365),OFFSET(D1485,-F1486+1,0)*(1+C1485*F1486/365))</f>
        <v>175.9548203014582</v>
      </c>
      <c r="E1486" s="31">
        <f>+E1485*(1+C1485*F1486/365)</f>
        <v>175.9548203014582</v>
      </c>
      <c r="F1486" s="32">
        <f>IF(A1485="Working day",1,(IF(A1484="Working day",2,(IF(A1483="Working day",3,IF(A1482="Working day",4,IF(A1481="Working day",5,IF(A1480="Working day",6,7))))))))</f>
        <v>1</v>
      </c>
      <c r="G1486" s="20">
        <f ca="1">(D1486/OFFSET(D1486,-7,0)-1)*365/7</f>
        <v>0.13824028314569795</v>
      </c>
      <c r="H1486" s="20">
        <f ca="1">($D1486/OFFSET($D1486,-30,0)-1)*365/30</f>
        <v>0.13705835217042453</v>
      </c>
      <c r="I1486" s="20">
        <f ca="1">($D1486/OFFSET($D1486,-90,0)-1)*365/90</f>
        <v>0.14040318517735367</v>
      </c>
      <c r="J1486" s="20">
        <f ca="1">($D1486/OFFSET($D1486,-180,0)-1)*365/180</f>
        <v>0.14111798243711421</v>
      </c>
      <c r="K1486" s="36">
        <v>14</v>
      </c>
    </row>
    <row r="1487" spans="1:11" x14ac:dyDescent="0.25">
      <c r="A1487" s="13" t="s">
        <v>7</v>
      </c>
      <c r="B1487" s="29">
        <v>46050</v>
      </c>
      <c r="C1487" s="20">
        <v>0.13830200000000001</v>
      </c>
      <c r="D1487" s="30">
        <f ca="1">+IF(F1487=1,D1486*(1+C1486*F1487/365),OFFSET(D1486,-F1487+1,0)*(1+C1486*F1487/365))</f>
        <v>176.02147295152437</v>
      </c>
      <c r="E1487" s="31">
        <f>+E1486*(1+C1486*F1487/365)</f>
        <v>176.02147295152437</v>
      </c>
      <c r="F1487" s="32">
        <f>IF(A1486="Working day",1,(IF(A1485="Working day",2,(IF(A1484="Working day",3,IF(A1483="Working day",4,IF(A1482="Working day",5,IF(A1481="Working day",6,7))))))))</f>
        <v>1</v>
      </c>
      <c r="G1487" s="20">
        <f ca="1">(D1487/OFFSET(D1487,-7,0)-1)*365/7</f>
        <v>0.1382883922227959</v>
      </c>
      <c r="H1487" s="20">
        <f ca="1">($D1487/OFFSET($D1487,-30,0)-1)*365/30</f>
        <v>0.13713680816268747</v>
      </c>
      <c r="I1487" s="20">
        <f ca="1">($D1487/OFFSET($D1487,-90,0)-1)*365/90</f>
        <v>0.14038938402209314</v>
      </c>
      <c r="J1487" s="20">
        <f ca="1">($D1487/OFFSET($D1487,-180,0)-1)*365/180</f>
        <v>0.14116707113035298</v>
      </c>
      <c r="K1487" s="36">
        <v>14</v>
      </c>
    </row>
    <row r="1488" spans="1:11" x14ac:dyDescent="0.25">
      <c r="A1488" s="13" t="s">
        <v>7</v>
      </c>
      <c r="B1488" s="29">
        <v>46051</v>
      </c>
      <c r="C1488" s="20">
        <v>0.138567</v>
      </c>
      <c r="D1488" s="30">
        <f ca="1">+IF(F1488=1,D1487*(1+C1487*F1488/365),OFFSET(D1487,-F1488+1,0)*(1+C1487*F1488/365))</f>
        <v>176.08816917550286</v>
      </c>
      <c r="E1488" s="31">
        <f>+E1487*(1+C1487*F1488/365)</f>
        <v>176.08816917550286</v>
      </c>
      <c r="F1488" s="32">
        <f>IF(A1487="Working day",1,(IF(A1486="Working day",2,(IF(A1485="Working day",3,IF(A1484="Working day",4,IF(A1483="Working day",5,IF(A1482="Working day",6,7))))))))</f>
        <v>1</v>
      </c>
      <c r="G1488" s="20">
        <f ca="1">(D1488/OFFSET(D1488,-7,0)-1)*365/7</f>
        <v>0.13834165589261713</v>
      </c>
      <c r="H1488" s="20">
        <f ca="1">($D1488/OFFSET($D1488,-30,0)-1)*365/30</f>
        <v>0.13718253418834439</v>
      </c>
      <c r="I1488" s="20">
        <f ca="1">($D1488/OFFSET($D1488,-90,0)-1)*365/90</f>
        <v>0.14038235130603754</v>
      </c>
      <c r="J1488" s="20">
        <f ca="1">($D1488/OFFSET($D1488,-180,0)-1)*365/180</f>
        <v>0.14121916080171923</v>
      </c>
      <c r="K1488" s="36">
        <v>14</v>
      </c>
    </row>
    <row r="1489" spans="1:11" x14ac:dyDescent="0.25">
      <c r="A1489" s="13" t="s">
        <v>7</v>
      </c>
      <c r="B1489" s="29">
        <v>46052</v>
      </c>
      <c r="C1489" s="20">
        <v>0.13858599999999999</v>
      </c>
      <c r="D1489" s="30">
        <f ca="1">+IF(F1489=1,D1488*(1+C1488*F1489/365),OFFSET(D1488,-F1489+1,0)*(1+C1488*F1489/365))</f>
        <v>176.15501851615528</v>
      </c>
      <c r="E1489" s="31">
        <f>+E1488*(1+C1488*F1489/365)</f>
        <v>176.15501851615528</v>
      </c>
      <c r="F1489" s="32">
        <f>IF(A1488="Working day",1,(IF(A1487="Working day",2,(IF(A1486="Working day",3,IF(A1485="Working day",4,IF(A1484="Working day",5,IF(A1483="Working day",6,7))))))))</f>
        <v>1</v>
      </c>
      <c r="G1489" s="20">
        <f ca="1">(D1489/OFFSET(D1489,-7,0)-1)*365/7</f>
        <v>0.13835711953203575</v>
      </c>
      <c r="H1489" s="20">
        <f ca="1">($D1489/OFFSET($D1489,-30,0)-1)*365/30</f>
        <v>0.13729663120107477</v>
      </c>
      <c r="I1489" s="20">
        <f ca="1">($D1489/OFFSET($D1489,-90,0)-1)*365/90</f>
        <v>0.14038502879410461</v>
      </c>
      <c r="J1489" s="20">
        <f ca="1">($D1489/OFFSET($D1489,-180,0)-1)*365/180</f>
        <v>0.1412730989002898</v>
      </c>
      <c r="K1489" s="36">
        <v>14</v>
      </c>
    </row>
    <row r="1490" spans="1:11" x14ac:dyDescent="0.25">
      <c r="A1490" s="23" t="s">
        <v>6</v>
      </c>
      <c r="B1490" s="24">
        <v>46053</v>
      </c>
      <c r="C1490" s="28">
        <v>0.13858599999999999</v>
      </c>
      <c r="D1490" s="25">
        <f t="shared" ref="D1490:D1491" ca="1" si="363">+IF(F1490=1,D1489*(1+C1489*F1490/365),OFFSET(D1489,-F1490+1,0)*(1+C1489*F1490/365))</f>
        <v>176.22190240491167</v>
      </c>
      <c r="E1490" s="26">
        <f t="shared" ref="E1490:E1491" si="364">+E1489*(1+C1489*F1490/365)</f>
        <v>176.22190240491167</v>
      </c>
      <c r="F1490" s="27">
        <f t="shared" ref="F1490:F1491" si="365">IF(A1489="Working day",1,(IF(A1488="Working day",2,(IF(A1487="Working day",3,IF(A1486="Working day",4,IF(A1485="Working day",5,IF(A1484="Working day",6,7))))))))</f>
        <v>1</v>
      </c>
      <c r="G1490" s="28">
        <f t="shared" ref="G1490:G1491" ca="1" si="366">(D1490/OFFSET(D1490,-7,0)-1)*365/7</f>
        <v>0.13842269689659562</v>
      </c>
      <c r="H1490" s="28">
        <f t="shared" ref="H1490:H1498" ca="1" si="367">($D1490/OFFSET($D1490,-30,0)-1)*365/30</f>
        <v>0.13741305596353029</v>
      </c>
      <c r="I1490" s="28">
        <f t="shared" ref="I1490:I1498" ca="1" si="368">($D1490/OFFSET($D1490,-90,0)-1)*365/90</f>
        <v>0.14038852686426248</v>
      </c>
      <c r="J1490" s="28">
        <f t="shared" ref="J1490:J1498" ca="1" si="369">($D1490/OFFSET($D1490,-180,0)-1)*365/180</f>
        <v>0.14132742400655154</v>
      </c>
      <c r="K1490" s="36">
        <v>14</v>
      </c>
    </row>
    <row r="1491" spans="1:11" x14ac:dyDescent="0.25">
      <c r="A1491" s="23" t="s">
        <v>6</v>
      </c>
      <c r="B1491" s="24">
        <v>46054</v>
      </c>
      <c r="C1491" s="28">
        <v>0.13858599999999999</v>
      </c>
      <c r="D1491" s="25">
        <f t="shared" ca="1" si="363"/>
        <v>176.28878629366804</v>
      </c>
      <c r="E1491" s="26">
        <f t="shared" si="364"/>
        <v>176.35572097240038</v>
      </c>
      <c r="F1491" s="27">
        <f t="shared" si="365"/>
        <v>2</v>
      </c>
      <c r="G1491" s="28">
        <f t="shared" ca="1" si="366"/>
        <v>0.13848822466541652</v>
      </c>
      <c r="H1491" s="28">
        <f t="shared" ca="1" si="367"/>
        <v>0.13752939458380126</v>
      </c>
      <c r="I1491" s="28">
        <f t="shared" ca="1" si="368"/>
        <v>0.14039202228591433</v>
      </c>
      <c r="J1491" s="28">
        <f t="shared" ca="1" si="369"/>
        <v>0.14138618545655551</v>
      </c>
      <c r="K1491" s="36">
        <v>14</v>
      </c>
    </row>
    <row r="1492" spans="1:11" x14ac:dyDescent="0.25">
      <c r="A1492" s="13" t="s">
        <v>7</v>
      </c>
      <c r="B1492" s="29">
        <v>46055</v>
      </c>
      <c r="C1492" s="20">
        <v>0.13874300000000001</v>
      </c>
      <c r="D1492" s="30">
        <f t="shared" ref="D1492" ca="1" si="370">+IF(F1492=1,D1491*(1+C1491*F1492/365),OFFSET(D1491,-F1492+1,0)*(1+C1491*F1492/365))</f>
        <v>176.35567018242443</v>
      </c>
      <c r="E1492" s="31">
        <f>+E1489*(1+C1491*F1492/365)</f>
        <v>176.35567018242443</v>
      </c>
      <c r="F1492" s="32">
        <f t="shared" ref="F1492:F1493" si="371">IF(A1491="Working day",1,(IF(A1490="Working day",2,(IF(A1489="Working day",3,IF(A1488="Working day",4,IF(A1487="Working day",5,IF(A1486="Working day",6,7))))))))</f>
        <v>3</v>
      </c>
      <c r="G1492" s="20">
        <f t="shared" ref="G1492" ca="1" si="372">(D1492/OFFSET(D1492,-7,0)-1)*365/7</f>
        <v>0.13855370289476779</v>
      </c>
      <c r="H1492" s="20">
        <f t="shared" ca="1" si="367"/>
        <v>0.13764564715746008</v>
      </c>
      <c r="I1492" s="20">
        <f t="shared" ca="1" si="368"/>
        <v>0.14037531204942461</v>
      </c>
      <c r="J1492" s="20">
        <f t="shared" ca="1" si="369"/>
        <v>0.14145654798456264</v>
      </c>
      <c r="K1492" s="36">
        <v>14</v>
      </c>
    </row>
    <row r="1493" spans="1:11" x14ac:dyDescent="0.25">
      <c r="A1493" s="13" t="s">
        <v>7</v>
      </c>
      <c r="B1493" s="29">
        <v>46056</v>
      </c>
      <c r="C1493" s="20">
        <v>0.138905</v>
      </c>
      <c r="D1493" s="30">
        <f t="shared" ref="D1493" ca="1" si="373">+IF(F1493=1,D1492*(1+C1492*F1493/365),OFFSET(D1492,-F1493+1,0)*(1+C1492*F1493/365))</f>
        <v>176.42270611324122</v>
      </c>
      <c r="E1493" s="31">
        <f>+E1492*(1+C1492*F1493/365)</f>
        <v>176.42270611324122</v>
      </c>
      <c r="F1493" s="36">
        <f t="shared" si="371"/>
        <v>1</v>
      </c>
      <c r="G1493" s="20">
        <f t="shared" ref="G1493" ca="1" si="374">(D1493/OFFSET(D1493,-7,0)-1)*365/7</f>
        <v>0.13865436025664449</v>
      </c>
      <c r="H1493" s="20">
        <f t="shared" ca="1" si="367"/>
        <v>0.13777241781334498</v>
      </c>
      <c r="I1493" s="20">
        <f t="shared" ca="1" si="368"/>
        <v>0.14036159144275315</v>
      </c>
      <c r="J1493" s="20">
        <f t="shared" ca="1" si="369"/>
        <v>0.14153181521862274</v>
      </c>
      <c r="K1493" s="36">
        <v>14</v>
      </c>
    </row>
    <row r="1494" spans="1:11" x14ac:dyDescent="0.25">
      <c r="A1494" s="13" t="s">
        <v>7</v>
      </c>
      <c r="B1494" s="29">
        <v>46057</v>
      </c>
      <c r="C1494" s="20">
        <v>0.138769</v>
      </c>
      <c r="D1494" s="30">
        <f t="shared" ref="D1494" ca="1" si="375">+IF(F1494=1,D1493*(1+C1493*F1494/365),OFFSET(D1493,-F1494+1,0)*(1+C1493*F1494/365))</f>
        <v>176.48984582828962</v>
      </c>
      <c r="E1494" s="31">
        <f>+E1493*(1+C1493*F1494/365)</f>
        <v>176.48984582828962</v>
      </c>
      <c r="F1494" s="36">
        <f t="shared" ref="F1494" si="376">IF(A1493="Working day",1,(IF(A1492="Working day",2,(IF(A1491="Working day",3,IF(A1490="Working day",4,IF(A1489="Working day",5,IF(A1488="Working day",6,7))))))))</f>
        <v>1</v>
      </c>
      <c r="G1494" s="20">
        <f t="shared" ref="G1494" ca="1" si="377">(D1494/OFFSET(D1494,-7,0)-1)*365/7</f>
        <v>0.1387461404182517</v>
      </c>
      <c r="H1494" s="20">
        <f t="shared" ca="1" si="367"/>
        <v>0.13790633043691294</v>
      </c>
      <c r="I1494" s="20">
        <f t="shared" ca="1" si="368"/>
        <v>0.14034942220164878</v>
      </c>
      <c r="J1494" s="20">
        <f t="shared" ca="1" si="369"/>
        <v>0.14160130400054408</v>
      </c>
      <c r="K1494" s="36">
        <v>14</v>
      </c>
    </row>
    <row r="1495" spans="1:11" x14ac:dyDescent="0.25">
      <c r="A1495" s="13" t="s">
        <v>7</v>
      </c>
      <c r="B1495" s="29">
        <v>46058</v>
      </c>
      <c r="C1495" s="20">
        <v>0.13863300000000001</v>
      </c>
      <c r="D1495" s="30">
        <f t="shared" ref="D1495" ca="1" si="378">+IF(F1495=1,D1494*(1+C1494*F1495/365),OFFSET(D1494,-F1495+1,0)*(1+C1494*F1495/365))</f>
        <v>176.55694533353824</v>
      </c>
      <c r="E1495" s="31">
        <f>+E1494*(1+C1494*F1495/365)</f>
        <v>176.55694533353824</v>
      </c>
      <c r="F1495" s="36">
        <f t="shared" ref="F1495" si="379">IF(A1494="Working day",1,(IF(A1493="Working day",2,(IF(A1492="Working day",3,IF(A1491="Working day",4,IF(A1490="Working day",5,IF(A1489="Working day",6,7))))))))</f>
        <v>1</v>
      </c>
      <c r="G1495" s="20">
        <f t="shared" ref="G1495" ca="1" si="380">(D1495/OFFSET(D1495,-7,0)-1)*365/7</f>
        <v>0.13881300688664905</v>
      </c>
      <c r="H1495" s="20">
        <f t="shared" ca="1" si="367"/>
        <v>0.13787987729126799</v>
      </c>
      <c r="I1495" s="20">
        <f t="shared" ca="1" si="368"/>
        <v>0.14033527650677169</v>
      </c>
      <c r="J1495" s="20">
        <f t="shared" ca="1" si="369"/>
        <v>0.14166771133466047</v>
      </c>
      <c r="K1495" s="36">
        <v>14</v>
      </c>
    </row>
    <row r="1496" spans="1:11" x14ac:dyDescent="0.25">
      <c r="A1496" s="13" t="s">
        <v>7</v>
      </c>
      <c r="B1496" s="29">
        <v>46059</v>
      </c>
      <c r="C1496" s="20">
        <v>0.13836399999999999</v>
      </c>
      <c r="D1496" s="30">
        <f t="shared" ref="D1496:D1498" ca="1" si="381">+IF(F1496=1,D1495*(1+C1495*F1496/365),OFFSET(D1495,-F1496+1,0)*(1+C1495*F1496/365))</f>
        <v>176.62400456368186</v>
      </c>
      <c r="E1496" s="31">
        <f>+E1495*(1+C1495*F1496/365)</f>
        <v>176.62400456368186</v>
      </c>
      <c r="F1496" s="36">
        <f t="shared" ref="F1496:F1498" si="382">IF(A1495="Working day",1,(IF(A1494="Working day",2,(IF(A1493="Working day",3,IF(A1492="Working day",4,IF(A1491="Working day",5,IF(A1490="Working day",6,7))))))))</f>
        <v>1</v>
      </c>
      <c r="G1496" s="20">
        <f t="shared" ref="G1496:G1498" ca="1" si="383">(D1496/OFFSET(D1496,-7,0)-1)*365/7</f>
        <v>0.13882245697092527</v>
      </c>
      <c r="H1496" s="20">
        <f t="shared" ca="1" si="367"/>
        <v>0.13785200887082477</v>
      </c>
      <c r="I1496" s="20">
        <f t="shared" ca="1" si="368"/>
        <v>0.14031956805859383</v>
      </c>
      <c r="J1496" s="20">
        <f t="shared" ca="1" si="369"/>
        <v>0.14173357756563074</v>
      </c>
      <c r="K1496" s="36">
        <v>14</v>
      </c>
    </row>
    <row r="1497" spans="1:11" x14ac:dyDescent="0.25">
      <c r="A1497" s="23" t="s">
        <v>6</v>
      </c>
      <c r="B1497" s="24">
        <v>46060</v>
      </c>
      <c r="C1497" s="28">
        <v>0.13836399999999999</v>
      </c>
      <c r="D1497" s="25">
        <f t="shared" ca="1" si="381"/>
        <v>176.6909590945516</v>
      </c>
      <c r="E1497" s="26">
        <f t="shared" ref="E1497:E1498" si="384">+E1496*(1+C1496*F1497/365)</f>
        <v>176.6909590945516</v>
      </c>
      <c r="F1497" s="27">
        <f t="shared" si="382"/>
        <v>1</v>
      </c>
      <c r="G1497" s="28">
        <f t="shared" ca="1" si="383"/>
        <v>0.13879067031973677</v>
      </c>
      <c r="H1497" s="28">
        <f t="shared" ca="1" si="367"/>
        <v>0.13791091366892638</v>
      </c>
      <c r="I1497" s="28">
        <f t="shared" ca="1" si="368"/>
        <v>0.14030138537162573</v>
      </c>
      <c r="J1497" s="28">
        <f t="shared" ca="1" si="369"/>
        <v>0.14179811220046673</v>
      </c>
      <c r="K1497" s="36">
        <v>14</v>
      </c>
    </row>
    <row r="1498" spans="1:11" x14ac:dyDescent="0.25">
      <c r="A1498" s="23" t="s">
        <v>6</v>
      </c>
      <c r="B1498" s="24">
        <v>46061</v>
      </c>
      <c r="C1498" s="28">
        <v>0.13836399999999999</v>
      </c>
      <c r="D1498" s="25">
        <f t="shared" ca="1" si="381"/>
        <v>176.75791362542134</v>
      </c>
      <c r="E1498" s="26">
        <f t="shared" si="384"/>
        <v>176.82491891846482</v>
      </c>
      <c r="F1498" s="27">
        <f t="shared" si="382"/>
        <v>2</v>
      </c>
      <c r="G1498" s="28">
        <f t="shared" ca="1" si="383"/>
        <v>0.13875890778823405</v>
      </c>
      <c r="H1498" s="28">
        <f t="shared" ca="1" si="367"/>
        <v>0.1379168637624478</v>
      </c>
      <c r="I1498" s="28">
        <f t="shared" ca="1" si="368"/>
        <v>0.14028321661698698</v>
      </c>
      <c r="J1498" s="28">
        <f t="shared" ca="1" si="369"/>
        <v>0.14186189665115914</v>
      </c>
      <c r="K1498" s="36">
        <v>14</v>
      </c>
    </row>
    <row r="1499" spans="1:11" x14ac:dyDescent="0.25">
      <c r="A1499" s="13" t="s">
        <v>7</v>
      </c>
      <c r="B1499" s="29">
        <v>46062</v>
      </c>
      <c r="C1499" s="20">
        <v>0.13775599999999999</v>
      </c>
      <c r="D1499" s="30">
        <f ca="1">+IF(F1499=1,D1498*(1+C1498*F1499/365),OFFSET(D1498,-F1499+1,0)*(1+C1498*F1499/365))</f>
        <v>176.82486815629102</v>
      </c>
      <c r="E1499" s="31">
        <f>+E1496*(1+C1498*F1499/365)</f>
        <v>176.82486815629102</v>
      </c>
      <c r="F1499" s="32">
        <f>IF(A1498="Working day",1,(IF(A1497="Working day",2,(IF(A1496="Working day",3,IF(A1495="Working day",4,IF(A1494="Working day",5,IF(A1493="Working day",6,7))))))))</f>
        <v>3</v>
      </c>
      <c r="G1499" s="20">
        <f ca="1">(D1499/OFFSET(D1499,-7,0)-1)*365/7</f>
        <v>0.13872716934894241</v>
      </c>
      <c r="H1499" s="20">
        <f ca="1">($D1499/OFFSET($D1499,-30,0)-1)*365/30</f>
        <v>0.13795252278131939</v>
      </c>
      <c r="I1499" s="20">
        <f ca="1">($D1499/OFFSET($D1499,-90,0)-1)*365/90</f>
        <v>0.14026321275481554</v>
      </c>
      <c r="J1499" s="20">
        <f ca="1">($D1499/OFFSET($D1499,-180,0)-1)*365/180</f>
        <v>0.14192420696710539</v>
      </c>
      <c r="K1499" s="36">
        <v>14</v>
      </c>
    </row>
    <row r="1500" spans="1:11" x14ac:dyDescent="0.25">
      <c r="A1500" s="13" t="s">
        <v>7</v>
      </c>
      <c r="B1500" s="29">
        <v>46063</v>
      </c>
      <c r="C1500" s="20">
        <v>0.137791</v>
      </c>
      <c r="D1500" s="30">
        <f ca="1">+IF(F1500=1,D1499*(1+C1499*F1500/365),OFFSET(D1499,-F1500+1,0)*(1+C1499*F1500/365))</f>
        <v>176.89160428379165</v>
      </c>
      <c r="E1500" s="31">
        <f>+E1499*(1+C1499*F1500/365)</f>
        <v>176.89160428379165</v>
      </c>
      <c r="F1500" s="32">
        <f>IF(A1499="Working day",1,(IF(A1498="Working day",2,(IF(A1497="Working day",3,IF(A1496="Working day",4,IF(A1495="Working day",5,IF(A1494="Working day",6,7))))))))</f>
        <v>1</v>
      </c>
      <c r="G1500" s="20">
        <f ca="1">(D1500/OFFSET(D1500,-7,0)-1)*365/7</f>
        <v>0.13858584793425405</v>
      </c>
      <c r="H1500" s="20">
        <f ca="1">($D1500/OFFSET($D1500,-30,0)-1)*365/30</f>
        <v>0.13797296280038693</v>
      </c>
      <c r="I1500" s="20">
        <f ca="1">($D1500/OFFSET($D1500,-90,0)-1)*365/90</f>
        <v>0.14023896676464681</v>
      </c>
      <c r="J1500" s="20">
        <f ca="1">($D1500/OFFSET($D1500,-180,0)-1)*365/180</f>
        <v>0.14198475318579831</v>
      </c>
      <c r="K1500" s="36">
        <v>14</v>
      </c>
    </row>
    <row r="1501" spans="1:11" x14ac:dyDescent="0.25">
      <c r="A1501" s="13" t="s">
        <v>7</v>
      </c>
      <c r="B1501" s="29">
        <v>46064</v>
      </c>
      <c r="C1501" s="20">
        <v>0.13771700000000001</v>
      </c>
      <c r="D1501" s="30">
        <f ca="1">+IF(F1501=1,D1500*(1+C1500*F1501/365),OFFSET(D1500,-F1501+1,0)*(1+C1500*F1501/365))</f>
        <v>176.95838256062964</v>
      </c>
      <c r="E1501" s="31">
        <f>+E1500*(1+C1500*F1501/365)</f>
        <v>176.95838256062964</v>
      </c>
      <c r="F1501" s="32">
        <f>IF(A1500="Working day",1,(IF(A1499="Working day",2,(IF(A1498="Working day",3,IF(A1497="Working day",4,IF(A1496="Working day",5,IF(A1495="Working day",6,7))))))))</f>
        <v>1</v>
      </c>
      <c r="G1501" s="20">
        <f ca="1">(D1501/OFFSET(D1501,-7,0)-1)*365/7</f>
        <v>0.138426342807036</v>
      </c>
      <c r="H1501" s="20">
        <f ca="1">($D1501/OFFSET($D1501,-30,0)-1)*365/30</f>
        <v>0.13799631829150799</v>
      </c>
      <c r="I1501" s="20">
        <f ca="1">($D1501/OFFSET($D1501,-90,0)-1)*365/90</f>
        <v>0.14021390506624401</v>
      </c>
      <c r="J1501" s="20">
        <f ca="1">($D1501/OFFSET($D1501,-180,0)-1)*365/180</f>
        <v>0.14204173550815916</v>
      </c>
      <c r="K1501" s="36">
        <v>14</v>
      </c>
    </row>
    <row r="1502" spans="1:11" x14ac:dyDescent="0.25">
      <c r="A1502" s="13" t="s">
        <v>7</v>
      </c>
      <c r="B1502" s="29">
        <v>46065</v>
      </c>
      <c r="C1502" s="20">
        <v>0.13789799999999999</v>
      </c>
      <c r="D1502" s="30">
        <f ca="1">+IF(F1502=1,D1501*(1+C1501*F1502/365),OFFSET(D1501,-F1502+1,0)*(1+C1501*F1502/365))</f>
        <v>177.0251501704135</v>
      </c>
      <c r="E1502" s="31">
        <f>+E1501*(1+C1501*F1502/365)</f>
        <v>177.0251501704135</v>
      </c>
      <c r="F1502" s="32">
        <f>IF(A1501="Working day",1,(IF(A1500="Working day",2,(IF(A1499="Working day",3,IF(A1498="Working day",4,IF(A1497="Working day",5,IF(A1496="Working day",6,7))))))))</f>
        <v>1</v>
      </c>
      <c r="G1502" s="20">
        <f ca="1">(D1502/OFFSET(D1502,-7,0)-1)*365/7</f>
        <v>0.13827571538837496</v>
      </c>
      <c r="H1502" s="20">
        <f ca="1">($D1502/OFFSET($D1502,-30,0)-1)*365/30</f>
        <v>0.13808009380694611</v>
      </c>
      <c r="I1502" s="20">
        <f ca="1">($D1502/OFFSET($D1502,-90,0)-1)*365/90</f>
        <v>0.1401876714526194</v>
      </c>
      <c r="J1502" s="20">
        <f ca="1">($D1502/OFFSET($D1502,-180,0)-1)*365/180</f>
        <v>0.14209948001477213</v>
      </c>
      <c r="K1502" s="36">
        <v>14</v>
      </c>
    </row>
    <row r="1503" spans="1:11" x14ac:dyDescent="0.25">
      <c r="A1503" s="13" t="s">
        <v>7</v>
      </c>
      <c r="B1503" s="29">
        <v>46066</v>
      </c>
      <c r="C1503" s="20">
        <v>0.13609599999999999</v>
      </c>
      <c r="D1503" s="30">
        <f ca="1">+IF(F1503=1,D1502*(1+C1502*F1503/365),OFFSET(D1502,-F1503+1,0)*(1+C1502*F1503/365))</f>
        <v>177.09203075714831</v>
      </c>
      <c r="E1503" s="31">
        <f>+E1502*(1+C1502*F1503/365)</f>
        <v>177.09203075714831</v>
      </c>
      <c r="F1503" s="32">
        <f>IF(A1502="Working day",1,(IF(A1501="Working day",2,(IF(A1500="Working day",3,IF(A1499="Working day",4,IF(A1498="Working day",5,IF(A1497="Working day",6,7))))))))</f>
        <v>1</v>
      </c>
      <c r="G1503" s="20">
        <f ca="1">(D1503/OFFSET(D1503,-7,0)-1)*365/7</f>
        <v>0.13817047691406237</v>
      </c>
      <c r="H1503" s="20">
        <f ca="1">($D1503/OFFSET($D1503,-30,0)-1)*365/30</f>
        <v>0.1381820675337864</v>
      </c>
      <c r="I1503" s="20">
        <f ca="1">($D1503/OFFSET($D1503,-90,0)-1)*365/90</f>
        <v>0.14016351783410902</v>
      </c>
      <c r="J1503" s="20">
        <f ca="1">($D1503/OFFSET($D1503,-180,0)-1)*365/180</f>
        <v>0.14215856837376212</v>
      </c>
      <c r="K1503" s="36">
        <v>14</v>
      </c>
    </row>
    <row r="1504" spans="1:11" x14ac:dyDescent="0.25">
      <c r="A1504" s="23" t="s">
        <v>6</v>
      </c>
      <c r="B1504" s="24">
        <v>46067</v>
      </c>
      <c r="C1504" s="28">
        <v>0.13609599999999999</v>
      </c>
      <c r="D1504" s="25">
        <f t="shared" ref="D1504:D1506" ca="1" si="385">+IF(F1504=1,D1503*(1+C1503*F1504/365),OFFSET(D1503,-F1504+1,0)*(1+C1503*F1504/365))</f>
        <v>177.15806231062209</v>
      </c>
      <c r="E1504" s="26">
        <f t="shared" ref="E1504:E1505" si="386">+E1503*(1+C1503*F1504/365)</f>
        <v>177.15806231062209</v>
      </c>
      <c r="F1504" s="27">
        <f t="shared" ref="F1504:F1506" si="387">IF(A1503="Working day",1,(IF(A1502="Working day",2,(IF(A1501="Working day",3,IF(A1500="Working day",4,IF(A1499="Working day",5,IF(A1498="Working day",6,7))))))))</f>
        <v>1</v>
      </c>
      <c r="G1504" s="28">
        <f t="shared" ref="G1504:G1506" ca="1" si="388">(D1504/OFFSET(D1504,-7,0)-1)*365/7</f>
        <v>0.13784574146489323</v>
      </c>
      <c r="H1504" s="28">
        <f t="shared" ref="H1504:H1512" ca="1" si="389">($D1504/OFFSET($D1504,-30,0)-1)*365/30</f>
        <v>0.13825330837004651</v>
      </c>
      <c r="I1504" s="28">
        <f t="shared" ref="I1504:I1512" ca="1" si="390">($D1504/OFFSET($D1504,-90,0)-1)*365/90</f>
        <v>0.14011927488166467</v>
      </c>
      <c r="J1504" s="28">
        <f t="shared" ref="J1504:J1512" ca="1" si="391">($D1504/OFFSET($D1504,-180,0)-1)*365/180</f>
        <v>0.14220721564065344</v>
      </c>
      <c r="K1504" s="36">
        <v>14</v>
      </c>
    </row>
    <row r="1505" spans="1:11" x14ac:dyDescent="0.25">
      <c r="A1505" s="23" t="s">
        <v>6</v>
      </c>
      <c r="B1505" s="24">
        <v>46068</v>
      </c>
      <c r="C1505" s="28">
        <v>0.13609599999999999</v>
      </c>
      <c r="D1505" s="25">
        <f t="shared" ca="1" si="385"/>
        <v>177.22409386409583</v>
      </c>
      <c r="E1505" s="26">
        <f t="shared" si="386"/>
        <v>177.29017465937949</v>
      </c>
      <c r="F1505" s="27">
        <f t="shared" si="387"/>
        <v>2</v>
      </c>
      <c r="G1505" s="28">
        <f t="shared" ca="1" si="388"/>
        <v>0.13752125203027377</v>
      </c>
      <c r="H1505" s="28">
        <f t="shared" ca="1" si="389"/>
        <v>0.13832519914031127</v>
      </c>
      <c r="I1505" s="28">
        <f t="shared" ca="1" si="390"/>
        <v>0.14007506583000881</v>
      </c>
      <c r="J1505" s="28">
        <f t="shared" ca="1" si="391"/>
        <v>0.14225489265184904</v>
      </c>
      <c r="K1505" s="36">
        <v>14</v>
      </c>
    </row>
    <row r="1506" spans="1:11" x14ac:dyDescent="0.25">
      <c r="A1506" s="13" t="s">
        <v>7</v>
      </c>
      <c r="B1506" s="29">
        <v>46069</v>
      </c>
      <c r="C1506" s="20">
        <v>0.13536400000000001</v>
      </c>
      <c r="D1506" s="30">
        <f t="shared" ca="1" si="385"/>
        <v>177.29012541756964</v>
      </c>
      <c r="E1506" s="31">
        <f>+E1503*(1+C1505*F1506/365)</f>
        <v>177.29012541756964</v>
      </c>
      <c r="F1506" s="32">
        <f t="shared" si="387"/>
        <v>3</v>
      </c>
      <c r="G1506" s="20">
        <f t="shared" ca="1" si="388"/>
        <v>0.13719700833077958</v>
      </c>
      <c r="H1506" s="20">
        <f t="shared" ca="1" si="389"/>
        <v>0.13842631892168747</v>
      </c>
      <c r="I1506" s="20">
        <f t="shared" ca="1" si="390"/>
        <v>0.14002904171953506</v>
      </c>
      <c r="J1506" s="20">
        <f t="shared" ca="1" si="391"/>
        <v>0.14230071230221319</v>
      </c>
      <c r="K1506" s="36">
        <v>14</v>
      </c>
    </row>
    <row r="1507" spans="1:11" x14ac:dyDescent="0.25">
      <c r="A1507" s="13" t="s">
        <v>7</v>
      </c>
      <c r="B1507" s="29">
        <v>46070</v>
      </c>
      <c r="C1507" s="20">
        <v>0.13573099999999999</v>
      </c>
      <c r="D1507" s="30">
        <f t="shared" ref="D1507" ca="1" si="392">+IF(F1507=1,D1506*(1+C1506*F1507/365),OFFSET(D1506,-F1507+1,0)*(1+C1506*F1507/365))</f>
        <v>177.35587528205465</v>
      </c>
      <c r="E1507" s="31">
        <f>+E1506*(1+C1506*F1507/365)</f>
        <v>177.35587528205465</v>
      </c>
      <c r="F1507" s="32">
        <f t="shared" ref="F1507" si="393">IF(A1506="Working day",1,(IF(A1505="Working day",2,(IF(A1504="Working day",3,IF(A1503="Working day",4,IF(A1502="Working day",5,IF(A1501="Working day",6,7))))))))</f>
        <v>1</v>
      </c>
      <c r="G1507" s="20">
        <f t="shared" ref="G1507" ca="1" si="394">(D1507/OFFSET(D1507,-7,0)-1)*365/7</f>
        <v>0.1368545241930281</v>
      </c>
      <c r="H1507" s="20">
        <f t="shared" ca="1" si="389"/>
        <v>0.13850782112967497</v>
      </c>
      <c r="I1507" s="20">
        <f t="shared" ca="1" si="390"/>
        <v>0.13997577247981152</v>
      </c>
      <c r="J1507" s="20">
        <f t="shared" ca="1" si="391"/>
        <v>0.14233852370387792</v>
      </c>
      <c r="K1507" s="36">
        <v>14</v>
      </c>
    </row>
    <row r="1508" spans="1:11" x14ac:dyDescent="0.25">
      <c r="A1508" s="13" t="s">
        <v>7</v>
      </c>
      <c r="B1508" s="29">
        <v>46071</v>
      </c>
      <c r="C1508" s="20">
        <v>0.135217</v>
      </c>
      <c r="D1508" s="30">
        <f t="shared" ref="D1508" ca="1" si="395">+IF(F1508=1,D1507*(1+C1507*F1508/365),OFFSET(D1507,-F1508+1,0)*(1+C1507*F1508/365))</f>
        <v>177.4218278582407</v>
      </c>
      <c r="E1508" s="31">
        <f>+E1507*(1+C1507*F1508/365)</f>
        <v>177.4218278582407</v>
      </c>
      <c r="F1508" s="32">
        <f t="shared" ref="F1508" si="396">IF(A1507="Working day",1,(IF(A1506="Working day",2,(IF(A1505="Working day",3,IF(A1504="Working day",4,IF(A1503="Working day",5,IF(A1502="Working day",6,7))))))))</f>
        <v>1</v>
      </c>
      <c r="G1508" s="20">
        <f t="shared" ref="G1508" ca="1" si="397">(D1508/OFFSET(D1508,-7,0)-1)*365/7</f>
        <v>0.13655957743952815</v>
      </c>
      <c r="H1508" s="20">
        <f t="shared" ca="1" si="389"/>
        <v>0.13860332328374578</v>
      </c>
      <c r="I1508" s="20">
        <f t="shared" ca="1" si="390"/>
        <v>0.13992672081951807</v>
      </c>
      <c r="J1508" s="20">
        <f t="shared" ca="1" si="391"/>
        <v>0.14236041315012643</v>
      </c>
      <c r="K1508" s="36">
        <v>14</v>
      </c>
    </row>
    <row r="1509" spans="1:11" x14ac:dyDescent="0.25">
      <c r="A1509" s="13" t="s">
        <v>7</v>
      </c>
      <c r="B1509" s="29">
        <v>46072</v>
      </c>
      <c r="C1509" s="20">
        <v>0.135379</v>
      </c>
      <c r="D1509" s="30">
        <f t="shared" ref="D1509" ca="1" si="398">+IF(F1509=1,D1508*(1+C1508*F1509/365),OFFSET(D1508,-F1509+1,0)*(1+C1508*F1509/365))</f>
        <v>177.48755511111057</v>
      </c>
      <c r="E1509" s="31">
        <f>+E1508*(1+C1508*F1509/365)</f>
        <v>177.48755511111057</v>
      </c>
      <c r="F1509" s="32">
        <f t="shared" ref="F1509" si="399">IF(A1508="Working day",1,(IF(A1507="Working day",2,(IF(A1506="Working day",3,IF(A1505="Working day",4,IF(A1504="Working day",5,IF(A1503="Working day",6,7))))))))</f>
        <v>1</v>
      </c>
      <c r="G1509" s="20">
        <f t="shared" ref="G1509" ca="1" si="400">(D1509/OFFSET(D1509,-7,0)-1)*365/7</f>
        <v>0.13620163429720961</v>
      </c>
      <c r="H1509" s="20">
        <f t="shared" ca="1" si="389"/>
        <v>0.13852035300579713</v>
      </c>
      <c r="I1509" s="20">
        <f t="shared" ca="1" si="390"/>
        <v>0.13987295879080922</v>
      </c>
      <c r="J1509" s="20">
        <f t="shared" ca="1" si="391"/>
        <v>0.14234736750437013</v>
      </c>
      <c r="K1509" s="36">
        <v>14</v>
      </c>
    </row>
    <row r="1510" spans="1:11" x14ac:dyDescent="0.25">
      <c r="A1510" s="13" t="s">
        <v>7</v>
      </c>
      <c r="B1510" s="29">
        <v>46073</v>
      </c>
      <c r="C1510" s="20">
        <v>0.135107</v>
      </c>
      <c r="D1510" s="30">
        <f t="shared" ref="D1510:D1512" ca="1" si="401">+IF(F1510=1,D1509*(1+C1509*F1510/365),OFFSET(D1509,-F1510+1,0)*(1+C1509*F1510/365))</f>
        <v>177.55338548843491</v>
      </c>
      <c r="E1510" s="31">
        <f>+E1509*(1+C1509*F1510/365)</f>
        <v>177.55338548843491</v>
      </c>
      <c r="F1510" s="32">
        <f t="shared" ref="F1510:F1512" si="402">IF(A1509="Working day",1,(IF(A1508="Working day",2,(IF(A1507="Working day",3,IF(A1506="Working day",4,IF(A1505="Working day",5,IF(A1504="Working day",6,7))))))))</f>
        <v>1</v>
      </c>
      <c r="G1510" s="20">
        <f t="shared" ref="G1510:G1512" ca="1" si="403">(D1510/OFFSET(D1510,-7,0)-1)*365/7</f>
        <v>0.13584097343515558</v>
      </c>
      <c r="H1510" s="20">
        <f t="shared" ca="1" si="389"/>
        <v>0.13843445143461544</v>
      </c>
      <c r="I1510" s="20">
        <f t="shared" ca="1" si="390"/>
        <v>0.13981986388155554</v>
      </c>
      <c r="J1510" s="20">
        <f t="shared" ca="1" si="391"/>
        <v>0.14233559209339008</v>
      </c>
      <c r="K1510" s="36">
        <v>14</v>
      </c>
    </row>
    <row r="1511" spans="1:11" x14ac:dyDescent="0.25">
      <c r="A1511" s="23" t="s">
        <v>6</v>
      </c>
      <c r="B1511" s="24">
        <v>46074</v>
      </c>
      <c r="C1511" s="28">
        <v>0.135107</v>
      </c>
      <c r="D1511" s="25">
        <f t="shared" ca="1" si="401"/>
        <v>177.61910796858064</v>
      </c>
      <c r="E1511" s="26">
        <f t="shared" ref="E1511" si="404">+E1510*(1+C1510*F1511/365)</f>
        <v>177.61910796858064</v>
      </c>
      <c r="F1511" s="27">
        <f t="shared" si="402"/>
        <v>1</v>
      </c>
      <c r="G1511" s="28">
        <f t="shared" ca="1" si="403"/>
        <v>0.13569937244581046</v>
      </c>
      <c r="H1511" s="28">
        <f t="shared" ca="1" si="389"/>
        <v>0.13833931669894181</v>
      </c>
      <c r="I1511" s="28">
        <f t="shared" ca="1" si="390"/>
        <v>0.13976426116649693</v>
      </c>
      <c r="J1511" s="28">
        <f t="shared" ca="1" si="391"/>
        <v>0.14232250728124507</v>
      </c>
      <c r="K1511" s="36">
        <v>14</v>
      </c>
    </row>
    <row r="1512" spans="1:11" x14ac:dyDescent="0.25">
      <c r="A1512" s="23" t="s">
        <v>6</v>
      </c>
      <c r="B1512" s="24">
        <v>46075</v>
      </c>
      <c r="C1512" s="28">
        <v>0.135107</v>
      </c>
      <c r="D1512" s="25">
        <f t="shared" ca="1" si="401"/>
        <v>177.68483044872633</v>
      </c>
      <c r="E1512" s="26">
        <f>+E1511*(1+C1511*F1512/365)</f>
        <v>177.75060158403437</v>
      </c>
      <c r="F1512" s="27">
        <f t="shared" si="402"/>
        <v>2</v>
      </c>
      <c r="G1512" s="28">
        <f t="shared" ca="1" si="403"/>
        <v>0.13555787697410329</v>
      </c>
      <c r="H1512" s="28">
        <f t="shared" ca="1" si="389"/>
        <v>0.13822467105384692</v>
      </c>
      <c r="I1512" s="28">
        <f t="shared" ca="1" si="390"/>
        <v>0.1397087010565487</v>
      </c>
      <c r="J1512" s="28">
        <f t="shared" ca="1" si="391"/>
        <v>0.14228838748733733</v>
      </c>
      <c r="K1512" s="36">
        <v>14</v>
      </c>
    </row>
    <row r="1513" spans="1:11" x14ac:dyDescent="0.25">
      <c r="A1513" s="13" t="s">
        <v>7</v>
      </c>
      <c r="B1513" s="29">
        <v>46076</v>
      </c>
      <c r="C1513" s="20">
        <v>0.13536799999999999</v>
      </c>
      <c r="D1513" s="30">
        <f ca="1">+IF(F1513=1,D1512*(1+C1512*F1513/365),OFFSET(D1512,-F1513+1,0)*(1+C1512*F1513/365))</f>
        <v>177.75055292887205</v>
      </c>
      <c r="E1513" s="31">
        <f>+E1510*(1+C1512*F1513/365)</f>
        <v>177.75055292887205</v>
      </c>
      <c r="F1513" s="32">
        <f>IF(A1512="Working day",1,(IF(A1511="Working day",2,(IF(A1510="Working day",3,IF(A1509="Working day",4,IF(A1508="Working day",5,IF(A1507="Working day",6,7))))))))</f>
        <v>3</v>
      </c>
      <c r="G1513" s="20">
        <f ca="1">(D1513/OFFSET(D1513,-7,0)-1)*365/7</f>
        <v>0.13541648690211175</v>
      </c>
      <c r="H1513" s="20">
        <f ca="1">($D1513/OFFSET($D1513,-30,0)-1)*365/30</f>
        <v>0.13811949737982221</v>
      </c>
      <c r="I1513" s="20">
        <f ca="1">($D1513/OFFSET($D1513,-90,0)-1)*365/90</f>
        <v>0.13965467814061661</v>
      </c>
      <c r="J1513" s="20">
        <f ca="1">($D1513/OFFSET($D1513,-180,0)-1)*365/180</f>
        <v>0.14221828421353575</v>
      </c>
      <c r="K1513" s="36">
        <v>14</v>
      </c>
    </row>
    <row r="1514" spans="1:11" x14ac:dyDescent="0.25">
      <c r="A1514" s="13" t="s">
        <v>7</v>
      </c>
      <c r="B1514" s="29">
        <v>46077</v>
      </c>
      <c r="C1514" s="20">
        <v>0.13720599999999999</v>
      </c>
      <c r="D1514" s="30">
        <f ca="1">+IF(F1514=1,D1513*(1+C1513*F1514/365),OFFSET(D1513,-F1514+1,0)*(1+C1513*F1514/365))</f>
        <v>177.8164754955813</v>
      </c>
      <c r="E1514" s="31">
        <f>+E1513*(1+C1513*F1514/365)</f>
        <v>177.8164754955813</v>
      </c>
      <c r="F1514" s="32">
        <f>IF(A1513="Working day",1,(IF(A1512="Working day",2,(IF(A1511="Working day",3,IF(A1510="Working day",4,IF(A1509="Working day",5,IF(A1508="Working day",6,7))))))))</f>
        <v>1</v>
      </c>
      <c r="G1514" s="20">
        <f ca="1">(D1514/OFFSET(D1514,-7,0)-1)*365/7</f>
        <v>0.13541705960230552</v>
      </c>
      <c r="H1514" s="20">
        <f ca="1">($D1514/OFFSET($D1514,-30,0)-1)*365/30</f>
        <v>0.13802824900725119</v>
      </c>
      <c r="I1514" s="20">
        <f ca="1">($D1514/OFFSET($D1514,-90,0)-1)*365/90</f>
        <v>0.13961120245350619</v>
      </c>
      <c r="J1514" s="20">
        <f ca="1">($D1514/OFFSET($D1514,-180,0)-1)*365/180</f>
        <v>0.14215336492638864</v>
      </c>
      <c r="K1514" s="36">
        <v>14</v>
      </c>
    </row>
    <row r="1515" spans="1:11" x14ac:dyDescent="0.25">
      <c r="A1515" s="13" t="s">
        <v>7</v>
      </c>
      <c r="B1515" s="29">
        <v>46078</v>
      </c>
      <c r="C1515" s="20">
        <v>0.13786499999999999</v>
      </c>
      <c r="D1515" s="30">
        <f ca="1">+IF(F1515=1,D1514*(1+C1514*F1515/365),OFFSET(D1514,-F1515+1,0)*(1+C1514*F1515/365))</f>
        <v>177.88331792664115</v>
      </c>
      <c r="E1515" s="31">
        <f>+E1514*(1+C1514*F1515/365)</f>
        <v>177.88331792664115</v>
      </c>
      <c r="F1515" s="32">
        <f>IF(A1514="Working day",1,(IF(A1513="Working day",2,(IF(A1512="Working day",3,IF(A1511="Working day",4,IF(A1510="Working day",5,IF(A1509="Working day",6,7))))))))</f>
        <v>1</v>
      </c>
      <c r="G1515" s="20">
        <f ca="1">(D1515/OFFSET(D1515,-7,0)-1)*365/7</f>
        <v>0.1356282425896235</v>
      </c>
      <c r="H1515" s="20">
        <f ca="1">($D1515/OFFSET($D1515,-30,0)-1)*365/30</f>
        <v>0.13800069910945173</v>
      </c>
      <c r="I1515" s="20">
        <f ca="1">($D1515/OFFSET($D1515,-90,0)-1)*365/90</f>
        <v>0.13959383072099621</v>
      </c>
      <c r="J1515" s="20">
        <f ca="1">($D1515/OFFSET($D1515,-180,0)-1)*365/180</f>
        <v>0.14213396191373012</v>
      </c>
      <c r="K1515" s="36">
        <v>14</v>
      </c>
    </row>
    <row r="1516" spans="1:11" x14ac:dyDescent="0.25">
      <c r="A1516" s="13" t="s">
        <v>7</v>
      </c>
      <c r="B1516" s="29">
        <v>46079</v>
      </c>
      <c r="C1516" s="20">
        <v>0.138187</v>
      </c>
      <c r="D1516" s="30">
        <f ca="1">+IF(F1516=1,D1515*(1+C1515*F1516/365),OFFSET(D1515,-F1516+1,0)*(1+C1515*F1516/365))</f>
        <v>177.95050664890405</v>
      </c>
      <c r="E1516" s="31">
        <f>+E1515*(1+C1515*F1516/365)</f>
        <v>177.95050664890405</v>
      </c>
      <c r="F1516" s="32">
        <f>IF(A1515="Working day",1,(IF(A1514="Working day",2,(IF(A1513="Working day",3,IF(A1512="Working day",4,IF(A1511="Working day",5,IF(A1510="Working day",6,7))))))))</f>
        <v>1</v>
      </c>
      <c r="G1516" s="20">
        <f ca="1">(D1516/OFFSET(D1516,-7,0)-1)*365/7</f>
        <v>0.136007371807672</v>
      </c>
      <c r="H1516" s="20">
        <f ca="1">($D1516/OFFSET($D1516,-30,0)-1)*365/30</f>
        <v>0.13799480184169624</v>
      </c>
      <c r="I1516" s="20">
        <f ca="1">($D1516/OFFSET($D1516,-90,0)-1)*365/90</f>
        <v>0.13957738971112008</v>
      </c>
      <c r="J1516" s="20">
        <f ca="1">($D1516/OFFSET($D1516,-180,0)-1)*365/180</f>
        <v>0.14212705649619023</v>
      </c>
      <c r="K1516" s="36">
        <v>14</v>
      </c>
    </row>
    <row r="1517" spans="1:11" x14ac:dyDescent="0.25">
      <c r="A1517" s="13" t="s">
        <v>7</v>
      </c>
      <c r="B1517" s="29">
        <v>46080</v>
      </c>
      <c r="C1517" s="20">
        <v>0.13774900000000001</v>
      </c>
      <c r="D1517" s="30">
        <f ca="1">+IF(F1517=1,D1516*(1+C1516*F1517/365),OFFSET(D1516,-F1517+1,0)*(1+C1516*F1517/365))</f>
        <v>178.01787773565005</v>
      </c>
      <c r="E1517" s="31">
        <f>+E1516*(1+C1516*F1517/365)</f>
        <v>178.01787773565005</v>
      </c>
      <c r="F1517" s="32">
        <f>IF(A1516="Working day",1,(IF(A1515="Working day",2,(IF(A1514="Working day",3,IF(A1513="Working day",4,IF(A1512="Working day",5,IF(A1511="Working day",6,7))))))))</f>
        <v>1</v>
      </c>
      <c r="G1517" s="20">
        <f ca="1">(D1517/OFFSET(D1517,-7,0)-1)*365/7</f>
        <v>0.13640941187281225</v>
      </c>
      <c r="H1517" s="20">
        <f ca="1">($D1517/OFFSET($D1517,-30,0)-1)*365/30</f>
        <v>0.13799220704672088</v>
      </c>
      <c r="I1517" s="20">
        <f ca="1">($D1517/OFFSET($D1517,-90,0)-1)*365/90</f>
        <v>0.13956426912551592</v>
      </c>
      <c r="J1517" s="20">
        <f ca="1">($D1517/OFFSET($D1517,-180,0)-1)*365/180</f>
        <v>0.14212237921704912</v>
      </c>
      <c r="K1517" s="36">
        <v>14</v>
      </c>
    </row>
    <row r="1518" spans="1:11" x14ac:dyDescent="0.25">
      <c r="A1518" s="23" t="s">
        <v>6</v>
      </c>
      <c r="B1518" s="24">
        <v>46081</v>
      </c>
      <c r="C1518" s="28">
        <v>0.13774900000000001</v>
      </c>
      <c r="D1518" s="25">
        <f t="shared" ref="D1518:D1519" ca="1" si="405">+IF(F1518=1,D1517*(1+C1517*F1518/365),OFFSET(D1517,-F1518+1,0)*(1+C1517*F1518/365))</f>
        <v>178.08506070726705</v>
      </c>
      <c r="E1518" s="26">
        <f t="shared" ref="E1518" si="406">+E1517*(1+C1517*F1518/365)</f>
        <v>178.08506070726705</v>
      </c>
      <c r="F1518" s="27">
        <f t="shared" ref="F1518:F1519" si="407">IF(A1517="Working day",1,(IF(A1516="Working day",2,(IF(A1515="Working day",3,IF(A1514="Working day",4,IF(A1513="Working day",5,IF(A1512="Working day",6,7))))))))</f>
        <v>1</v>
      </c>
      <c r="G1518" s="28">
        <f t="shared" ref="G1518:G1519" ca="1" si="408">(D1518/OFFSET(D1518,-7,0)-1)*365/7</f>
        <v>0.13678768780296643</v>
      </c>
      <c r="H1518" s="28">
        <f t="shared" ref="H1518:H1522" ca="1" si="409">($D1518/OFFSET($D1518,-30,0)-1)*365/30</f>
        <v>0.13797357170685157</v>
      </c>
      <c r="I1518" s="28">
        <f t="shared" ref="I1518:I1522" ca="1" si="410">($D1518/OFFSET($D1518,-90,0)-1)*365/90</f>
        <v>0.13954672717120969</v>
      </c>
      <c r="J1518" s="28">
        <f t="shared" ref="J1518:J1522" ca="1" si="411">($D1518/OFFSET($D1518,-180,0)-1)*365/180</f>
        <v>0.14211541339150757</v>
      </c>
      <c r="K1518" s="36">
        <v>14</v>
      </c>
    </row>
    <row r="1519" spans="1:11" x14ac:dyDescent="0.25">
      <c r="A1519" s="23" t="s">
        <v>6</v>
      </c>
      <c r="B1519" s="24">
        <v>46082</v>
      </c>
      <c r="C1519" s="28">
        <v>0.13774900000000001</v>
      </c>
      <c r="D1519" s="25">
        <f t="shared" ca="1" si="405"/>
        <v>178.15224367888408</v>
      </c>
      <c r="E1519" s="26">
        <f>+E1518*(1+C1518*F1519/365)</f>
        <v>178.2194773594718</v>
      </c>
      <c r="F1519" s="27">
        <f t="shared" si="407"/>
        <v>2</v>
      </c>
      <c r="G1519" s="28">
        <f t="shared" ca="1" si="408"/>
        <v>0.13716568389798114</v>
      </c>
      <c r="H1519" s="28">
        <f t="shared" ca="1" si="409"/>
        <v>0.13794425511057246</v>
      </c>
      <c r="I1519" s="28">
        <f t="shared" ca="1" si="410"/>
        <v>0.13952919859393162</v>
      </c>
      <c r="J1519" s="28">
        <f t="shared" ca="1" si="411"/>
        <v>0.14210845286440177</v>
      </c>
      <c r="K1519" s="36">
        <v>14</v>
      </c>
    </row>
    <row r="1520" spans="1:11" x14ac:dyDescent="0.25">
      <c r="A1520" s="13" t="s">
        <v>7</v>
      </c>
      <c r="B1520" s="29">
        <v>46083</v>
      </c>
      <c r="C1520" s="20">
        <v>0.13770299999999999</v>
      </c>
      <c r="D1520" s="30">
        <f t="shared" ref="D1520" ca="1" si="412">+IF(F1520=1,D1519*(1+C1519*F1520/365),OFFSET(D1519,-F1520+1,0)*(1+C1519*F1520/365))</f>
        <v>178.21942665050108</v>
      </c>
      <c r="E1520" s="31">
        <f>+E1517*(1+C1519*F1520/365)</f>
        <v>178.21942665050108</v>
      </c>
      <c r="F1520" s="32">
        <f t="shared" ref="F1520" si="413">IF(A1519="Working day",1,(IF(A1518="Working day",2,(IF(A1517="Working day",3,IF(A1516="Working day",4,IF(A1515="Working day",5,IF(A1514="Working day",6,7))))))))</f>
        <v>3</v>
      </c>
      <c r="G1520" s="20">
        <f t="shared" ref="G1520" ca="1" si="414">(D1520/OFFSET(D1520,-7,0)-1)*365/7</f>
        <v>0.13754340046821728</v>
      </c>
      <c r="H1520" s="20">
        <f t="shared" ca="1" si="409"/>
        <v>0.13791254845739248</v>
      </c>
      <c r="I1520" s="20">
        <f t="shared" ca="1" si="410"/>
        <v>0.13950601504775789</v>
      </c>
      <c r="J1520" s="20">
        <f t="shared" ca="1" si="411"/>
        <v>0.14213549290712224</v>
      </c>
      <c r="K1520" s="36">
        <v>14</v>
      </c>
    </row>
    <row r="1521" spans="1:11" x14ac:dyDescent="0.25">
      <c r="A1521" s="13" t="s">
        <v>7</v>
      </c>
      <c r="B1521" s="29">
        <v>46084</v>
      </c>
      <c r="C1521" s="20">
        <v>0.13688800000000001</v>
      </c>
      <c r="D1521" s="30">
        <f t="shared" ref="D1521" ca="1" si="415">+IF(F1521=1,D1520*(1+C1520*F1521/365),OFFSET(D1520,-F1521+1,0)*(1+C1520*F1521/365))</f>
        <v>178.2866632250437</v>
      </c>
      <c r="E1521" s="31">
        <f>+E1520*(1+C1520*F1521/365)</f>
        <v>178.2866632250437</v>
      </c>
      <c r="F1521" s="32">
        <f t="shared" ref="F1521" si="416">IF(A1520="Working day",1,(IF(A1519="Working day",2,(IF(A1518="Working day",3,IF(A1517="Working day",4,IF(A1516="Working day",5,IF(A1515="Working day",6,7))))))))</f>
        <v>1</v>
      </c>
      <c r="G1521" s="20">
        <f t="shared" ref="G1521" ca="1" si="417">(D1521/OFFSET(D1521,-7,0)-1)*365/7</f>
        <v>0.13787772780532986</v>
      </c>
      <c r="H1521" s="20">
        <f t="shared" ca="1" si="409"/>
        <v>0.13788456529831664</v>
      </c>
      <c r="I1521" s="20">
        <f t="shared" ca="1" si="410"/>
        <v>0.13947995819176454</v>
      </c>
      <c r="J1521" s="20">
        <f t="shared" ca="1" si="411"/>
        <v>0.14215920464241785</v>
      </c>
      <c r="K1521" s="36">
        <v>14</v>
      </c>
    </row>
    <row r="1522" spans="1:11" x14ac:dyDescent="0.25">
      <c r="A1522" s="13" t="s">
        <v>7</v>
      </c>
      <c r="B1522" s="29">
        <v>46085</v>
      </c>
      <c r="C1522" s="20">
        <v>0.13671900000000001</v>
      </c>
      <c r="D1522" s="30">
        <f t="shared" ref="D1522" ca="1" si="418">+IF(F1522=1,D1521*(1+C1521*F1522/365),OFFSET(D1521,-F1522+1,0)*(1+C1521*F1522/365))</f>
        <v>178.35352707368901</v>
      </c>
      <c r="E1522" s="31">
        <f>+E1521*(1+C1521*F1522/365)</f>
        <v>178.35352707368901</v>
      </c>
      <c r="F1522" s="32">
        <f t="shared" ref="F1522" si="419">IF(A1521="Working day",1,(IF(A1520="Working day",2,(IF(A1519="Working day",3,IF(A1518="Working day",4,IF(A1517="Working day",5,IF(A1516="Working day",6,7))))))))</f>
        <v>1</v>
      </c>
      <c r="G1522" s="20">
        <f t="shared" ref="G1522" ca="1" si="420">(D1522/OFFSET(D1522,-7,0)-1)*365/7</f>
        <v>0.13783219622590676</v>
      </c>
      <c r="H1522" s="20">
        <f t="shared" ca="1" si="409"/>
        <v>0.13783088923976894</v>
      </c>
      <c r="I1522" s="20">
        <f t="shared" ca="1" si="410"/>
        <v>0.13945155772628126</v>
      </c>
      <c r="J1522" s="20">
        <f t="shared" ca="1" si="411"/>
        <v>0.14220013944902024</v>
      </c>
      <c r="K1522" s="36">
        <v>14</v>
      </c>
    </row>
    <row r="1523" spans="1:11" x14ac:dyDescent="0.25">
      <c r="A1523" s="13" t="s">
        <v>7</v>
      </c>
      <c r="B1523" s="29">
        <v>46086</v>
      </c>
      <c r="C1523" s="20">
        <v>0.137153</v>
      </c>
      <c r="D1523" s="30">
        <f ca="1">+IF(F1523=1,D1522*(1+C1522*F1523/365),OFFSET(D1522,-F1523+1,0)*(1+C1522*F1523/365))</f>
        <v>178.42033341853281</v>
      </c>
      <c r="E1523" s="31">
        <f>+E1522*(1+C1522*F1523/365)</f>
        <v>178.42033341853281</v>
      </c>
      <c r="F1523" s="32">
        <f t="shared" ref="F1523" si="421">IF(A1522="Working day",1,(IF(A1521="Working day",2,(IF(A1520="Working day",3,IF(A1519="Working day",4,IF(A1518="Working day",5,IF(A1517="Working day",6,7))))))))</f>
        <v>1</v>
      </c>
      <c r="G1523" s="20">
        <f ca="1">(D1523/OFFSET(D1523,-7,0)-1)*365/7</f>
        <v>0.13766811116181751</v>
      </c>
      <c r="H1523" s="20">
        <f ca="1">($D1523/OFFSET($D1523,-30,0)-1)*365/30</f>
        <v>0.1377626841984485</v>
      </c>
      <c r="I1523" s="20">
        <f ca="1">($D1523/OFFSET($D1523,-90,0)-1)*365/90</f>
        <v>0.13941863089259676</v>
      </c>
      <c r="J1523" s="20">
        <f ca="1">($D1523/OFFSET($D1523,-180,0)-1)*365/180</f>
        <v>0.1422322970598654</v>
      </c>
      <c r="K1523" s="36">
        <v>14</v>
      </c>
    </row>
    <row r="1524" spans="1:11" x14ac:dyDescent="0.25">
      <c r="A1524" s="13" t="s">
        <v>7</v>
      </c>
      <c r="B1524" s="29">
        <v>46087</v>
      </c>
      <c r="C1524" s="20">
        <v>0.13642199999999999</v>
      </c>
      <c r="D1524" s="30">
        <f ca="1">+IF(F1524=1,D1523*(1+C1523*F1524/365),OFFSET(D1523,-F1524+1,0)*(1+C1523*F1524/365))</f>
        <v>178.48737693631185</v>
      </c>
      <c r="E1524" s="31">
        <f>+E1523*(1+C1523*F1524/365)</f>
        <v>178.48737693631185</v>
      </c>
      <c r="F1524" s="32">
        <f t="shared" ref="F1524:F1526" si="422">IF(A1523="Working day",1,(IF(A1522="Working day",2,(IF(A1521="Working day",3,IF(A1520="Working day",4,IF(A1519="Working day",5,IF(A1518="Working day",6,7))))))))</f>
        <v>1</v>
      </c>
      <c r="G1524" s="20">
        <f ca="1">(D1524/OFFSET(D1524,-7,0)-1)*365/7</f>
        <v>0.13752006292955793</v>
      </c>
      <c r="H1524" s="20">
        <f ca="1">($D1524/OFFSET($D1524,-30,0)-1)*365/30</f>
        <v>0.13770364540546376</v>
      </c>
      <c r="I1524" s="20">
        <f ca="1">($D1524/OFFSET($D1524,-90,0)-1)*365/90</f>
        <v>0.13943537008697487</v>
      </c>
      <c r="J1524" s="20">
        <f ca="1">($D1524/OFFSET($D1524,-180,0)-1)*365/180</f>
        <v>0.14226731509272936</v>
      </c>
      <c r="K1524" s="36">
        <v>14</v>
      </c>
    </row>
    <row r="1525" spans="1:11" x14ac:dyDescent="0.25">
      <c r="A1525" s="23" t="s">
        <v>6</v>
      </c>
      <c r="B1525" s="24">
        <v>46088</v>
      </c>
      <c r="C1525" s="28">
        <v>0.13642199999999999</v>
      </c>
      <c r="D1525" s="25">
        <f t="shared" ref="D1525:D1526" ca="1" si="423">+IF(F1525=1,D1524*(1+C1524*F1525/365),OFFSET(D1524,-F1525+1,0)*(1+C1524*F1525/365))</f>
        <v>178.55408818271295</v>
      </c>
      <c r="E1525" s="26">
        <f t="shared" ref="E1525" si="424">+E1524*(1+C1524*F1525/365)</f>
        <v>178.55408818271295</v>
      </c>
      <c r="F1525" s="27">
        <f t="shared" si="422"/>
        <v>1</v>
      </c>
      <c r="G1525" s="28">
        <f t="shared" ref="G1525:G1526" ca="1" si="425">(D1525/OFFSET(D1525,-7,0)-1)*365/7</f>
        <v>0.13733006323562796</v>
      </c>
      <c r="H1525" s="28">
        <f t="shared" ref="H1525:H1527" ca="1" si="426">($D1525/OFFSET($D1525,-30,0)-1)*365/30</f>
        <v>0.13762455668749093</v>
      </c>
      <c r="I1525" s="28">
        <f t="shared" ref="I1525:I1527" ca="1" si="427">($D1525/OFFSET($D1525,-90,0)-1)*365/90</f>
        <v>0.13944429036736314</v>
      </c>
      <c r="J1525" s="28">
        <f t="shared" ref="J1525:J1527" ca="1" si="428">($D1525/OFFSET($D1525,-180,0)-1)*365/180</f>
        <v>0.14229826966199408</v>
      </c>
      <c r="K1525" s="36">
        <v>14</v>
      </c>
    </row>
    <row r="1526" spans="1:11" x14ac:dyDescent="0.25">
      <c r="A1526" s="23" t="s">
        <v>6</v>
      </c>
      <c r="B1526" s="24">
        <v>46089</v>
      </c>
      <c r="C1526" s="28">
        <v>0.13642199999999999</v>
      </c>
      <c r="D1526" s="25">
        <f t="shared" ca="1" si="423"/>
        <v>178.62079942911407</v>
      </c>
      <c r="E1526" s="26">
        <f>+E1524*(1+C1525*F1526/365)</f>
        <v>178.62079942911407</v>
      </c>
      <c r="F1526" s="27">
        <f t="shared" si="422"/>
        <v>2</v>
      </c>
      <c r="G1526" s="28">
        <f t="shared" ca="1" si="425"/>
        <v>0.13714020684322784</v>
      </c>
      <c r="H1526" s="28">
        <f t="shared" ca="1" si="426"/>
        <v>0.13754833375814293</v>
      </c>
      <c r="I1526" s="28">
        <f t="shared" ca="1" si="427"/>
        <v>0.13945320402255831</v>
      </c>
      <c r="J1526" s="28">
        <f t="shared" ca="1" si="428"/>
        <v>0.1423393975183069</v>
      </c>
      <c r="K1526" s="36">
        <v>14</v>
      </c>
    </row>
    <row r="1527" spans="1:11" x14ac:dyDescent="0.25">
      <c r="A1527" s="23" t="s">
        <v>6</v>
      </c>
      <c r="B1527" s="24">
        <v>46090</v>
      </c>
      <c r="C1527" s="28">
        <v>0.13642199999999999</v>
      </c>
      <c r="D1527" s="25">
        <f t="shared" ref="D1527" ca="1" si="429">+IF(F1527=1,D1526*(1+C1526*F1527/365),OFFSET(D1526,-F1527+1,0)*(1+C1526*F1527/365))</f>
        <v>178.68751067551517</v>
      </c>
      <c r="E1527" s="26">
        <f>+E1524*(1+C1526*F1527/365)</f>
        <v>178.68751067551517</v>
      </c>
      <c r="F1527" s="27">
        <f t="shared" ref="F1527" si="430">IF(A1526="Working day",1,(IF(A1525="Working day",2,(IF(A1524="Working day",3,IF(A1523="Working day",4,IF(A1522="Working day",5,IF(A1521="Working day",6,7))))))))</f>
        <v>3</v>
      </c>
      <c r="G1527" s="28">
        <f t="shared" ref="G1527" ca="1" si="431">(D1527/OFFSET(D1527,-7,0)-1)*365/7</f>
        <v>0.13695049359028813</v>
      </c>
      <c r="H1527" s="28">
        <f t="shared" ca="1" si="426"/>
        <v>0.13747945957659985</v>
      </c>
      <c r="I1527" s="28">
        <f t="shared" ca="1" si="427"/>
        <v>0.13946211105993747</v>
      </c>
      <c r="J1527" s="28">
        <f t="shared" ca="1" si="428"/>
        <v>0.14237970041444079</v>
      </c>
      <c r="K1527" s="36">
        <v>14</v>
      </c>
    </row>
    <row r="1528" spans="1:11" x14ac:dyDescent="0.25">
      <c r="A1528" s="13" t="s">
        <v>7</v>
      </c>
      <c r="B1528" s="29">
        <v>46091</v>
      </c>
      <c r="C1528" s="20">
        <v>0.13644899999999999</v>
      </c>
      <c r="D1528" s="30">
        <f ca="1">+IF(F1528=1,D1527*(1+C1527*F1528/365),OFFSET(D1527,-F1528+1,0)*(1+C1527*F1528/365))</f>
        <v>178.75422192191627</v>
      </c>
      <c r="E1528" s="31">
        <f>+E1524*(1+C1527*F1528/365)</f>
        <v>178.75422192191627</v>
      </c>
      <c r="F1528" s="32">
        <f>IF(A1527="Working day",1,(IF(A1526="Working day",2,(IF(A1525="Working day",3,IF(A1524="Working day",4,IF(A1523="Working day",5,IF(A1522="Working day",6,7))))))))</f>
        <v>4</v>
      </c>
      <c r="G1528" s="20">
        <f ca="1">(D1528/OFFSET(D1528,-7,0)-1)*365/7</f>
        <v>0.13674520514276073</v>
      </c>
      <c r="H1528" s="20">
        <f ca="1">($D1528/OFFSET($D1528,-30,0)-1)*365/30</f>
        <v>0.13741063757307115</v>
      </c>
      <c r="I1528" s="20">
        <f ca="1">($D1528/OFFSET($D1528,-90,0)-1)*365/90</f>
        <v>0.13942942771580152</v>
      </c>
      <c r="J1528" s="20">
        <f ca="1">($D1528/OFFSET($D1528,-180,0)-1)*365/180</f>
        <v>0.1424148931786885</v>
      </c>
      <c r="K1528" s="36">
        <v>14</v>
      </c>
    </row>
    <row r="1529" spans="1:11" x14ac:dyDescent="0.25">
      <c r="A1529" s="13" t="s">
        <v>7</v>
      </c>
      <c r="B1529" s="29">
        <v>46092</v>
      </c>
      <c r="C1529" s="20">
        <v>0.136467</v>
      </c>
      <c r="D1529" s="30">
        <f ca="1">+IF(F1529=1,D1528*(1+C1528*F1529/365),OFFSET(D1528,-F1529+1,0)*(1+C1528*F1529/365))</f>
        <v>178.8210461269218</v>
      </c>
      <c r="E1529" s="31">
        <f>+E1528*(1+C1528*F1529/365)</f>
        <v>178.8210461269218</v>
      </c>
      <c r="F1529" s="32">
        <f>IF(A1528="Working day",1,(IF(A1527="Working day",2,(IF(A1526="Working day",3,IF(A1525="Working day",4,IF(A1524="Working day",5,IF(A1523="Working day",6,7))))))))</f>
        <v>1</v>
      </c>
      <c r="G1529" s="20">
        <f ca="1">(D1529/OFFSET(D1529,-7,0)-1)*365/7</f>
        <v>0.13668234996109713</v>
      </c>
      <c r="H1529" s="20">
        <f ca="1">($D1529/OFFSET($D1529,-30,0)-1)*365/30</f>
        <v>0.13734963995302607</v>
      </c>
      <c r="I1529" s="20">
        <f ca="1">($D1529/OFFSET($D1529,-90,0)-1)*365/90</f>
        <v>0.13939455945317175</v>
      </c>
      <c r="J1529" s="20">
        <f ca="1">($D1529/OFFSET($D1529,-180,0)-1)*365/180</f>
        <v>0.1424532235611137</v>
      </c>
      <c r="K1529" s="36">
        <v>14</v>
      </c>
    </row>
    <row r="1530" spans="1:11" x14ac:dyDescent="0.25">
      <c r="A1530" s="13" t="s">
        <v>7</v>
      </c>
      <c r="B1530" s="29">
        <v>46093</v>
      </c>
      <c r="C1530" s="20">
        <v>0.13723099999999999</v>
      </c>
      <c r="D1530" s="30">
        <f ca="1">+IF(F1530=1,D1529*(1+C1529*F1530/365),OFFSET(D1529,-F1530+1,0)*(1+C1529*F1530/365))</f>
        <v>178.88790413158429</v>
      </c>
      <c r="E1530" s="31">
        <f>+E1529*(1+C1529*F1530/365)</f>
        <v>178.88790413158429</v>
      </c>
      <c r="F1530" s="32">
        <f>IF(A1529="Working day",1,(IF(A1528="Working day",2,(IF(A1527="Working day",3,IF(A1526="Working day",4,IF(A1525="Working day",5,IF(A1524="Working day",6,7))))))))</f>
        <v>1</v>
      </c>
      <c r="G1530" s="20">
        <f ca="1">(D1530/OFFSET(D1530,-7,0)-1)*365/7</f>
        <v>0.13664626910900615</v>
      </c>
      <c r="H1530" s="20">
        <f ca="1">($D1530/OFFSET($D1530,-30,0)-1)*365/30</f>
        <v>0.13730620462825394</v>
      </c>
      <c r="I1530" s="20">
        <f ca="1">($D1530/OFFSET($D1530,-90,0)-1)*365/90</f>
        <v>0.1393577039677501</v>
      </c>
      <c r="J1530" s="20">
        <f ca="1">($D1530/OFFSET($D1530,-180,0)-1)*365/180</f>
        <v>0.14247231462411863</v>
      </c>
      <c r="K1530" s="36">
        <v>14</v>
      </c>
    </row>
    <row r="1531" spans="1:11" x14ac:dyDescent="0.25">
      <c r="A1531" s="13" t="s">
        <v>7</v>
      </c>
      <c r="B1531" s="29">
        <v>46094</v>
      </c>
      <c r="C1531" s="20">
        <v>0.13688500000000001</v>
      </c>
      <c r="D1531" s="30">
        <f ca="1">+IF(F1531=1,D1530*(1+C1530*F1531/365),OFFSET(D1530,-F1531+1,0)*(1+C1530*F1531/365))</f>
        <v>178.95516157260315</v>
      </c>
      <c r="E1531" s="31">
        <f>+E1530*(1+C1530*F1531/365)</f>
        <v>178.95516157260315</v>
      </c>
      <c r="F1531" s="32">
        <f>IF(A1530="Working day",1,(IF(A1529="Working day",2,(IF(A1528="Working day",3,IF(A1527="Working day",4,IF(A1526="Working day",5,IF(A1525="Working day",6,7))))))))</f>
        <v>1</v>
      </c>
      <c r="G1531" s="20">
        <f ca="1">(D1531/OFFSET(D1531,-7,0)-1)*365/7</f>
        <v>0.1366574369708132</v>
      </c>
      <c r="H1531" s="20">
        <f ca="1">($D1531/OFFSET($D1531,-30,0)-1)*365/30</f>
        <v>0.13728733442369748</v>
      </c>
      <c r="I1531" s="20">
        <f ca="1">($D1531/OFFSET($D1531,-90,0)-1)*365/90</f>
        <v>0.13933299214846664</v>
      </c>
      <c r="J1531" s="20">
        <f ca="1">($D1531/OFFSET($D1531,-180,0)-1)*365/180</f>
        <v>0.14249623591158331</v>
      </c>
      <c r="K1531" s="36">
        <v>14</v>
      </c>
    </row>
    <row r="1532" spans="1:11" x14ac:dyDescent="0.25">
      <c r="A1532" s="23" t="s">
        <v>6</v>
      </c>
      <c r="B1532" s="24">
        <v>46095</v>
      </c>
      <c r="C1532" s="28">
        <v>0.13688500000000001</v>
      </c>
      <c r="D1532" s="25">
        <f t="shared" ref="D1532:D1533" ca="1" si="432">+IF(F1532=1,D1531*(1+C1531*F1532/365),OFFSET(D1531,-F1532+1,0)*(1+C1531*F1532/365))</f>
        <v>179.02227466107399</v>
      </c>
      <c r="E1532" s="26">
        <f t="shared" ref="E1532:E1533" si="433">+E1531*(1+C1531*F1532/365)</f>
        <v>179.02227466107399</v>
      </c>
      <c r="F1532" s="27">
        <f t="shared" ref="F1532:F1533" si="434">IF(A1531="Working day",1,(IF(A1530="Working day",2,(IF(A1529="Working day",3,IF(A1528="Working day",4,IF(A1527="Working day",5,IF(A1526="Working day",6,7))))))))</f>
        <v>1</v>
      </c>
      <c r="G1532" s="28">
        <f t="shared" ref="G1532:G1533" ca="1" si="435">(D1532/OFFSET(D1532,-7,0)-1)*365/7</f>
        <v>0.13672372839997479</v>
      </c>
      <c r="H1532" s="28">
        <f t="shared" ref="H1532:H1534" ca="1" si="436">($D1532/OFFSET($D1532,-30,0)-1)*365/30</f>
        <v>0.13725929872852322</v>
      </c>
      <c r="I1532" s="28">
        <f t="shared" ref="I1532:I1534" ca="1" si="437">($D1532/OFFSET($D1532,-90,0)-1)*365/90</f>
        <v>0.13930491671071321</v>
      </c>
      <c r="J1532" s="28">
        <f t="shared" ref="J1532:J1534" ca="1" si="438">($D1532/OFFSET($D1532,-180,0)-1)*365/180</f>
        <v>0.14251838975838116</v>
      </c>
      <c r="K1532" s="36">
        <v>14</v>
      </c>
    </row>
    <row r="1533" spans="1:11" x14ac:dyDescent="0.25">
      <c r="A1533" s="23" t="s">
        <v>6</v>
      </c>
      <c r="B1533" s="24">
        <v>46096</v>
      </c>
      <c r="C1533" s="28">
        <v>0.13688500000000001</v>
      </c>
      <c r="D1533" s="25">
        <f t="shared" ca="1" si="432"/>
        <v>179.08938774954487</v>
      </c>
      <c r="E1533" s="26">
        <f t="shared" si="433"/>
        <v>179.15655117650951</v>
      </c>
      <c r="F1533" s="27">
        <f t="shared" si="434"/>
        <v>2</v>
      </c>
      <c r="G1533" s="28">
        <f t="shared" ca="1" si="435"/>
        <v>0.13678997031211654</v>
      </c>
      <c r="H1533" s="28">
        <f t="shared" ca="1" si="436"/>
        <v>0.13722343482609642</v>
      </c>
      <c r="I1533" s="28">
        <f t="shared" ca="1" si="437"/>
        <v>0.1392768626906741</v>
      </c>
      <c r="J1533" s="28">
        <f t="shared" ca="1" si="438"/>
        <v>0.14252999021533297</v>
      </c>
      <c r="K1533" s="36">
        <v>14</v>
      </c>
    </row>
    <row r="1534" spans="1:11" x14ac:dyDescent="0.25">
      <c r="A1534" s="13" t="s">
        <v>7</v>
      </c>
      <c r="B1534" s="29">
        <v>46097</v>
      </c>
      <c r="C1534" s="20">
        <v>0.136854</v>
      </c>
      <c r="D1534" s="30">
        <f t="shared" ref="D1534" ca="1" si="439">+IF(F1534=1,D1533*(1+C1533*F1534/365),OFFSET(D1533,-F1534+1,0)*(1+C1533*F1534/365))</f>
        <v>179.15650083801572</v>
      </c>
      <c r="E1534" s="31">
        <f>+E1531*(1+C1533*F1534/365)</f>
        <v>179.15650083801572</v>
      </c>
      <c r="F1534" s="32">
        <f t="shared" ref="F1534" si="440">IF(A1533="Working day",1,(IF(A1532="Working day",2,(IF(A1531="Working day",3,IF(A1530="Working day",4,IF(A1529="Working day",5,IF(A1528="Working day",6,7))))))))</f>
        <v>3</v>
      </c>
      <c r="G1534" s="20">
        <f t="shared" ref="G1534" ca="1" si="441">(D1534/OFFSET(D1534,-7,0)-1)*365/7</f>
        <v>0.13685616276270882</v>
      </c>
      <c r="H1534" s="20">
        <f t="shared" ca="1" si="436"/>
        <v>0.13724656444927</v>
      </c>
      <c r="I1534" s="20">
        <f t="shared" ca="1" si="437"/>
        <v>0.13924306879119708</v>
      </c>
      <c r="J1534" s="20">
        <f t="shared" ca="1" si="438"/>
        <v>0.14253472986263585</v>
      </c>
      <c r="K1534" s="36">
        <v>14</v>
      </c>
    </row>
    <row r="1535" spans="1:11" x14ac:dyDescent="0.25">
      <c r="A1535" s="13" t="s">
        <v>7</v>
      </c>
      <c r="B1535" s="29">
        <v>46098</v>
      </c>
      <c r="C1535" s="20">
        <v>0.13729</v>
      </c>
      <c r="D1535" s="30">
        <f ca="1">+IF(F1535=1,D1534*(1+C1534*F1535/365),OFFSET(D1534,-F1535+1,0)*(1+C1534*F1535/365))</f>
        <v>179.22367421819567</v>
      </c>
      <c r="E1535" s="31">
        <f>+E1534*(1+C1534*F1535/365)</f>
        <v>179.22367421819567</v>
      </c>
      <c r="F1535" s="32">
        <f t="shared" ref="F1535" si="442">IF(A1534="Working day",1,(IF(A1533="Working day",2,(IF(A1532="Working day",3,IF(A1531="Working day",4,IF(A1530="Working day",5,IF(A1529="Working day",6,7))))))))</f>
        <v>1</v>
      </c>
      <c r="G1535" s="20">
        <f ca="1">(D1535/OFFSET(D1535,-7,0)-1)*365/7</f>
        <v>0.13693989298319839</v>
      </c>
      <c r="H1535" s="20">
        <f ca="1">($D1535/OFFSET($D1535,-30,0)-1)*365/30</f>
        <v>0.13727381594177668</v>
      </c>
      <c r="I1535" s="20">
        <f ca="1">($D1535/OFFSET($D1535,-90,0)-1)*365/90</f>
        <v>0.13921486522513604</v>
      </c>
      <c r="J1535" s="20">
        <f ca="1">($D1535/OFFSET($D1535,-180,0)-1)*365/180</f>
        <v>0.14254168416961027</v>
      </c>
      <c r="K1535" s="36">
        <v>14</v>
      </c>
    </row>
    <row r="1536" spans="1:11" x14ac:dyDescent="0.25">
      <c r="A1536" s="13" t="s">
        <v>7</v>
      </c>
      <c r="B1536" s="29">
        <v>46099</v>
      </c>
      <c r="C1536" s="20">
        <v>0.13709099999999999</v>
      </c>
      <c r="D1536" s="30">
        <f ca="1">+IF(F1536=1,D1535*(1+C1535*F1536/365),OFFSET(D1535,-F1536+1,0)*(1+C1535*F1536/365))</f>
        <v>179.29108687088996</v>
      </c>
      <c r="E1536" s="31">
        <f>+E1535*(1+C1535*F1536/365)</f>
        <v>179.29108687088996</v>
      </c>
      <c r="F1536" s="32">
        <f t="shared" ref="F1536" si="443">IF(A1535="Working day",1,(IF(A1534="Working day",2,(IF(A1533="Working day",3,IF(A1532="Working day",4,IF(A1531="Working day",5,IF(A1530="Working day",6,7))))))))</f>
        <v>1</v>
      </c>
      <c r="G1536" s="20">
        <f ca="1">(D1536/OFFSET(D1536,-7,0)-1)*365/7</f>
        <v>0.13706030635039262</v>
      </c>
      <c r="H1536" s="20">
        <f ca="1">($D1536/OFFSET($D1536,-30,0)-1)*365/30</f>
        <v>0.13731746738887823</v>
      </c>
      <c r="I1536" s="20">
        <f ca="1">($D1536/OFFSET($D1536,-90,0)-1)*365/90</f>
        <v>0.13919412912562437</v>
      </c>
      <c r="J1536" s="20">
        <f ca="1">($D1536/OFFSET($D1536,-180,0)-1)*365/180</f>
        <v>0.14254773502070814</v>
      </c>
      <c r="K1536" s="36">
        <v>14</v>
      </c>
    </row>
    <row r="1537" spans="1:11" x14ac:dyDescent="0.25">
      <c r="A1537" s="13" t="s">
        <v>7</v>
      </c>
      <c r="B1537" s="29">
        <v>46100</v>
      </c>
      <c r="C1537" s="20">
        <v>0.13828199999999999</v>
      </c>
      <c r="D1537" s="30">
        <f ca="1">+IF(F1537=1,D1536*(1+C1536*F1537/365),OFFSET(D1536,-F1537+1,0)*(1+C1536*F1537/365))</f>
        <v>179.35842712949329</v>
      </c>
      <c r="E1537" s="31">
        <f>+E1536*(1+C1536*F1537/365)</f>
        <v>179.35842712949329</v>
      </c>
      <c r="F1537" s="32">
        <f t="shared" ref="F1537:F1539" si="444">IF(A1536="Working day",1,(IF(A1535="Working day",2,(IF(A1534="Working day",3,IF(A1533="Working day",4,IF(A1532="Working day",5,IF(A1531="Working day",6,7))))))))</f>
        <v>1</v>
      </c>
      <c r="G1537" s="20">
        <f ca="1">(D1537/OFFSET(D1537,-7,0)-1)*365/7</f>
        <v>0.13714965012028799</v>
      </c>
      <c r="H1537" s="20">
        <f ca="1">($D1537/OFFSET($D1537,-30,0)-1)*365/30</f>
        <v>0.13737566219194033</v>
      </c>
      <c r="I1537" s="20">
        <f ca="1">($D1537/OFFSET($D1537,-90,0)-1)*365/90</f>
        <v>0.13918353707803738</v>
      </c>
      <c r="J1537" s="20">
        <f ca="1">($D1537/OFFSET($D1537,-180,0)-1)*365/180</f>
        <v>0.14255322716570759</v>
      </c>
      <c r="K1537" s="36">
        <v>14</v>
      </c>
    </row>
    <row r="1538" spans="1:11" x14ac:dyDescent="0.25">
      <c r="A1538" s="23" t="s">
        <v>6</v>
      </c>
      <c r="B1538" s="24">
        <v>46101</v>
      </c>
      <c r="C1538" s="28">
        <v>0.13828199999999999</v>
      </c>
      <c r="D1538" s="25">
        <f t="shared" ref="D1538:D1539" ca="1" si="445">+IF(F1538=1,D1537*(1+C1537*F1538/365),OFFSET(D1537,-F1538+1,0)*(1+C1537*F1538/365))</f>
        <v>179.42637792954895</v>
      </c>
      <c r="E1538" s="26">
        <f>+E1537*(1+C1537*F1538/365)</f>
        <v>179.42637792954895</v>
      </c>
      <c r="F1538" s="27">
        <f t="shared" si="444"/>
        <v>1</v>
      </c>
      <c r="G1538" s="28">
        <f t="shared" ref="G1538:G1539" ca="1" si="446">(D1538/OFFSET(D1538,-7,0)-1)*365/7</f>
        <v>0.13730013131604807</v>
      </c>
      <c r="H1538" s="28">
        <f t="shared" ref="H1538:H1542" ca="1" si="447">($D1538/OFFSET($D1538,-30,0)-1)*365/30</f>
        <v>0.13746162368328765</v>
      </c>
      <c r="I1538" s="28">
        <f t="shared" ref="I1538:I1549" ca="1" si="448">($D1538/OFFSET($D1538,-90,0)-1)*365/90</f>
        <v>0.13918605296984418</v>
      </c>
      <c r="J1538" s="28">
        <f t="shared" ref="J1538:J1549" ca="1" si="449">($D1538/OFFSET($D1538,-180,0)-1)*365/180</f>
        <v>0.14256610033357109</v>
      </c>
      <c r="K1538" s="36">
        <v>14</v>
      </c>
    </row>
    <row r="1539" spans="1:11" x14ac:dyDescent="0.25">
      <c r="A1539" s="23" t="s">
        <v>6</v>
      </c>
      <c r="B1539" s="24">
        <v>46102</v>
      </c>
      <c r="C1539" s="28">
        <v>0.13828199999999999</v>
      </c>
      <c r="D1539" s="25">
        <f t="shared" ca="1" si="445"/>
        <v>179.49432872960466</v>
      </c>
      <c r="E1539" s="26">
        <f>+E1537*(1+C1538*F1539/365)</f>
        <v>179.49432872960466</v>
      </c>
      <c r="F1539" s="27">
        <f t="shared" si="444"/>
        <v>2</v>
      </c>
      <c r="G1539" s="28">
        <f t="shared" ca="1" si="446"/>
        <v>0.13749265506596689</v>
      </c>
      <c r="H1539" s="28">
        <f t="shared" ca="1" si="447"/>
        <v>0.13756314168840386</v>
      </c>
      <c r="I1539" s="28">
        <f t="shared" ca="1" si="448"/>
        <v>0.13918856695979551</v>
      </c>
      <c r="J1539" s="28">
        <f t="shared" ca="1" si="449"/>
        <v>0.14257896390723707</v>
      </c>
      <c r="K1539" s="36">
        <v>14</v>
      </c>
    </row>
    <row r="1540" spans="1:11" x14ac:dyDescent="0.25">
      <c r="A1540" s="23" t="s">
        <v>6</v>
      </c>
      <c r="B1540" s="24">
        <v>46103</v>
      </c>
      <c r="C1540" s="28">
        <v>0.13828199999999999</v>
      </c>
      <c r="D1540" s="25">
        <f t="shared" ref="D1540:D1542" ca="1" si="450">+IF(F1540=1,D1539*(1+C1539*F1540/365),OFFSET(D1539,-F1540+1,0)*(1+C1539*F1540/365))</f>
        <v>179.56227952966032</v>
      </c>
      <c r="E1540" s="26">
        <f>+E1537*(1+C1539*F1540/365)</f>
        <v>179.56227952966032</v>
      </c>
      <c r="F1540" s="27">
        <f t="shared" ref="F1540:F1542" si="451">IF(A1539="Working day",1,(IF(A1538="Working day",2,(IF(A1537="Working day",3,IF(A1536="Working day",4,IF(A1535="Working day",5,IF(A1534="Working day",6,7))))))))</f>
        <v>3</v>
      </c>
      <c r="G1540" s="28">
        <f t="shared" ref="G1540:G1542" ca="1" si="452">(D1540/OFFSET(D1540,-7,0)-1)*365/7</f>
        <v>0.13768503452071684</v>
      </c>
      <c r="H1540" s="28">
        <f t="shared" ca="1" si="447"/>
        <v>0.13765743807703723</v>
      </c>
      <c r="I1540" s="28">
        <f t="shared" ca="1" si="448"/>
        <v>0.13919107905004274</v>
      </c>
      <c r="J1540" s="28">
        <f t="shared" ca="1" si="449"/>
        <v>0.14259352248948981</v>
      </c>
      <c r="K1540" s="36">
        <v>14</v>
      </c>
    </row>
    <row r="1541" spans="1:11" x14ac:dyDescent="0.25">
      <c r="A1541" s="23" t="s">
        <v>6</v>
      </c>
      <c r="B1541" s="24">
        <v>46104</v>
      </c>
      <c r="C1541" s="28">
        <v>0.13828199999999999</v>
      </c>
      <c r="D1541" s="25">
        <f t="shared" ca="1" si="450"/>
        <v>179.63023032971597</v>
      </c>
      <c r="E1541" s="26">
        <f>+E1537*(1+C1540*F1541/365)</f>
        <v>179.63023032971597</v>
      </c>
      <c r="F1541" s="27">
        <f t="shared" si="451"/>
        <v>4</v>
      </c>
      <c r="G1541" s="28">
        <f t="shared" ca="1" si="452"/>
        <v>0.13787726984251791</v>
      </c>
      <c r="H1541" s="28">
        <f t="shared" ca="1" si="447"/>
        <v>0.13775913905694032</v>
      </c>
      <c r="I1541" s="28">
        <f t="shared" ca="1" si="448"/>
        <v>0.13919007972299652</v>
      </c>
      <c r="J1541" s="28">
        <f t="shared" ca="1" si="449"/>
        <v>0.1426020224762434</v>
      </c>
      <c r="K1541" s="36">
        <v>14</v>
      </c>
    </row>
    <row r="1542" spans="1:11" x14ac:dyDescent="0.25">
      <c r="A1542" s="13" t="s">
        <v>7</v>
      </c>
      <c r="B1542" s="29">
        <v>46105</v>
      </c>
      <c r="C1542" s="20">
        <v>0.13793</v>
      </c>
      <c r="D1542" s="30">
        <f t="shared" ca="1" si="450"/>
        <v>179.69818112977165</v>
      </c>
      <c r="E1542" s="31">
        <f>+E1537*(1+C1541*F1542/365)</f>
        <v>179.69818112977165</v>
      </c>
      <c r="F1542" s="32">
        <f t="shared" si="451"/>
        <v>5</v>
      </c>
      <c r="G1542" s="20">
        <f t="shared" ca="1" si="452"/>
        <v>0.13805177363724028</v>
      </c>
      <c r="H1542" s="20">
        <f t="shared" ca="1" si="447"/>
        <v>0.13786076480205373</v>
      </c>
      <c r="I1542" s="20">
        <f t="shared" ca="1" si="448"/>
        <v>0.13918880180794288</v>
      </c>
      <c r="J1542" s="20">
        <f t="shared" ca="1" si="449"/>
        <v>0.14259562533843051</v>
      </c>
      <c r="K1542" s="36">
        <v>14</v>
      </c>
    </row>
    <row r="1543" spans="1:11" x14ac:dyDescent="0.25">
      <c r="A1543" s="13" t="s">
        <v>7</v>
      </c>
      <c r="B1543" s="29">
        <v>46106</v>
      </c>
      <c r="C1543" s="20">
        <v>0.13788800000000001</v>
      </c>
      <c r="D1543" s="30">
        <f ca="1">+IF(F1543=1,D1542*(1+C1542*F1543/365),OFFSET(D1542,-F1543+1,0)*(1+C1542*F1543/365))</f>
        <v>179.76608734928735</v>
      </c>
      <c r="E1543" s="31">
        <f>+E1542*(1+C1542*F1543/365)</f>
        <v>179.76608734928735</v>
      </c>
      <c r="F1543" s="32">
        <f t="shared" ref="F1543" si="453">IF(A1542="Working day",1,(IF(A1541="Working day",2,(IF(A1540="Working day",3,IF(A1539="Working day",4,IF(A1538="Working day",5,IF(A1537="Working day",6,7))))))))</f>
        <v>1</v>
      </c>
      <c r="G1543" s="20">
        <f ca="1">(D1543/OFFSET(D1543,-7,0)-1)*365/7</f>
        <v>0.13814340980430248</v>
      </c>
      <c r="H1543" s="20">
        <f ca="1">($D1543/OFFSET($D1543,-30,0)-1)*365/30</f>
        <v>0.13795926394782587</v>
      </c>
      <c r="I1543" s="20">
        <f t="shared" ca="1" si="448"/>
        <v>0.13918758406873694</v>
      </c>
      <c r="J1543" s="20">
        <f t="shared" ca="1" si="449"/>
        <v>0.14259526869954978</v>
      </c>
      <c r="K1543" s="36">
        <v>14</v>
      </c>
    </row>
    <row r="1544" spans="1:11" x14ac:dyDescent="0.25">
      <c r="A1544" s="13" t="s">
        <v>7</v>
      </c>
      <c r="B1544" s="29">
        <v>46107</v>
      </c>
      <c r="C1544" s="20">
        <v>0.13809299999999999</v>
      </c>
      <c r="D1544" s="30">
        <f ca="1">+IF(F1544=1,D1543*(1+C1543*F1544/365),OFFSET(D1543,-F1544+1,0)*(1+C1543*F1544/365))</f>
        <v>179.83399854449948</v>
      </c>
      <c r="E1544" s="31">
        <f>+E1543*(1+C1543*F1544/365)</f>
        <v>179.83399854449948</v>
      </c>
      <c r="F1544" s="32">
        <f t="shared" ref="F1544" si="454">IF(A1543="Working day",1,(IF(A1542="Working day",2,(IF(A1541="Working day",3,IF(A1540="Working day",4,IF(A1539="Working day",5,IF(A1538="Working day",6,7))))))))</f>
        <v>1</v>
      </c>
      <c r="G1544" s="20">
        <f ca="1">(D1544/OFFSET(D1544,-7,0)-1)*365/7</f>
        <v>0.13825752573081115</v>
      </c>
      <c r="H1544" s="20">
        <f ca="1">($D1544/OFFSET($D1544,-30,0)-1)*365/30</f>
        <v>0.13804418493895126</v>
      </c>
      <c r="I1544" s="20">
        <f t="shared" ca="1" si="448"/>
        <v>0.13922841319854043</v>
      </c>
      <c r="J1544" s="20">
        <f t="shared" ca="1" si="449"/>
        <v>0.1425832975857616</v>
      </c>
      <c r="K1544" s="36">
        <v>14</v>
      </c>
    </row>
    <row r="1545" spans="1:11" x14ac:dyDescent="0.25">
      <c r="A1545" s="13" t="s">
        <v>7</v>
      </c>
      <c r="B1545" s="29">
        <v>46108</v>
      </c>
      <c r="C1545" s="20">
        <v>0.13800000000000001</v>
      </c>
      <c r="D1545" s="30">
        <f ca="1">+IF(F1545=1,D1544*(1+C1544*F1545/365),OFFSET(D1544,-F1545+1,0)*(1+C1544*F1545/365))</f>
        <v>179.90203639754333</v>
      </c>
      <c r="E1545" s="31">
        <f>+E1544*(1+C1544*F1545/365)</f>
        <v>179.90203639754333</v>
      </c>
      <c r="F1545" s="32">
        <f t="shared" ref="F1545" si="455">IF(A1544="Working day",1,(IF(A1543="Working day",2,(IF(A1542="Working day",3,IF(A1541="Working day",4,IF(A1540="Working day",5,IF(A1539="Working day",6,7))))))))</f>
        <v>1</v>
      </c>
      <c r="G1545" s="20">
        <f ca="1">(D1545/OFFSET(D1545,-7,0)-1)*365/7</f>
        <v>0.13823046439225273</v>
      </c>
      <c r="H1545" s="20">
        <f ca="1">($D1545/OFFSET($D1545,-30,0)-1)*365/30</f>
        <v>0.13807407583570572</v>
      </c>
      <c r="I1545" s="20">
        <f t="shared" ca="1" si="448"/>
        <v>0.13925203309623752</v>
      </c>
      <c r="J1545" s="20">
        <f t="shared" ca="1" si="449"/>
        <v>0.14257286365069924</v>
      </c>
      <c r="K1545" s="36">
        <v>14</v>
      </c>
    </row>
    <row r="1546" spans="1:11" x14ac:dyDescent="0.25">
      <c r="A1546" s="23" t="s">
        <v>6</v>
      </c>
      <c r="B1546" s="24">
        <v>46109</v>
      </c>
      <c r="C1546" s="28">
        <v>0.13800000000000001</v>
      </c>
      <c r="D1546" s="25">
        <f t="shared" ref="D1546:D1548" ca="1" si="456">+IF(F1546=1,D1545*(1+C1545*F1546/365),OFFSET(D1545,-F1546+1,0)*(1+C1545*F1546/365))</f>
        <v>179.97005415377035</v>
      </c>
      <c r="E1546" s="26">
        <f t="shared" ref="E1546" si="457">+E1545*(1+C1545*F1546/365)</f>
        <v>179.97005415377035</v>
      </c>
      <c r="F1546" s="27">
        <f t="shared" ref="F1546:F1548" si="458">IF(A1545="Working day",1,(IF(A1544="Working day",2,(IF(A1543="Working day",3,IF(A1542="Working day",4,IF(A1541="Working day",5,IF(A1540="Working day",6,7))))))))</f>
        <v>1</v>
      </c>
      <c r="G1546" s="28">
        <f t="shared" ref="G1546:G1548" ca="1" si="459">(D1546/OFFSET(D1546,-7,0)-1)*365/7</f>
        <v>0.13819758544496702</v>
      </c>
      <c r="H1546" s="28">
        <f t="shared" ref="H1546:H1549" ca="1" si="460">($D1546/OFFSET($D1546,-30,0)-1)*365/30</f>
        <v>0.13807862518585137</v>
      </c>
      <c r="I1546" s="28">
        <f t="shared" ca="1" si="448"/>
        <v>0.13927516697407338</v>
      </c>
      <c r="J1546" s="28">
        <f t="shared" ca="1" si="449"/>
        <v>0.1425621953483934</v>
      </c>
      <c r="K1546" s="36">
        <v>14</v>
      </c>
    </row>
    <row r="1547" spans="1:11" x14ac:dyDescent="0.25">
      <c r="A1547" s="23" t="s">
        <v>6</v>
      </c>
      <c r="B1547" s="24">
        <v>46110</v>
      </c>
      <c r="C1547" s="28">
        <v>0.13800000000000001</v>
      </c>
      <c r="D1547" s="25">
        <f t="shared" ca="1" si="456"/>
        <v>180.03807190999737</v>
      </c>
      <c r="E1547" s="26">
        <f>+E1545*(1+C1546*F1547/365)</f>
        <v>180.03807190999737</v>
      </c>
      <c r="F1547" s="27">
        <f t="shared" si="458"/>
        <v>2</v>
      </c>
      <c r="G1547" s="28">
        <f t="shared" ca="1" si="459"/>
        <v>0.13816473138210819</v>
      </c>
      <c r="H1547" s="28">
        <f t="shared" ca="1" si="460"/>
        <v>0.13807056591094077</v>
      </c>
      <c r="I1547" s="28">
        <f t="shared" ca="1" si="448"/>
        <v>0.13929828362698379</v>
      </c>
      <c r="J1547" s="28">
        <f t="shared" ca="1" si="449"/>
        <v>0.14254392305787833</v>
      </c>
      <c r="K1547" s="36">
        <v>14</v>
      </c>
    </row>
    <row r="1548" spans="1:11" x14ac:dyDescent="0.25">
      <c r="A1548" s="13" t="s">
        <v>7</v>
      </c>
      <c r="B1548" s="29">
        <v>46111</v>
      </c>
      <c r="C1548" s="20">
        <v>0.13800000000000001</v>
      </c>
      <c r="D1548" s="30">
        <f t="shared" ca="1" si="456"/>
        <v>180.10608966622439</v>
      </c>
      <c r="E1548" s="31">
        <f>+E1545*(1+C1547*F1548/365)</f>
        <v>180.10608966622439</v>
      </c>
      <c r="F1548" s="32">
        <f t="shared" si="458"/>
        <v>3</v>
      </c>
      <c r="G1548" s="20">
        <f t="shared" ca="1" si="459"/>
        <v>0.13813190217542587</v>
      </c>
      <c r="H1548" s="20">
        <f t="shared" ca="1" si="460"/>
        <v>0.13807551048728114</v>
      </c>
      <c r="I1548" s="20">
        <f t="shared" ca="1" si="448"/>
        <v>0.1393092060103088</v>
      </c>
      <c r="J1548" s="20">
        <f t="shared" ca="1" si="449"/>
        <v>0.14253076185731331</v>
      </c>
      <c r="K1548" s="36">
        <v>14</v>
      </c>
    </row>
    <row r="1549" spans="1:11" x14ac:dyDescent="0.25">
      <c r="A1549" s="13" t="s">
        <v>7</v>
      </c>
      <c r="B1549" s="29">
        <v>46112</v>
      </c>
      <c r="C1549" s="20">
        <v>0.13802700000000001</v>
      </c>
      <c r="D1549" s="30">
        <f t="shared" ref="D1549" ca="1" si="461">+IF(F1549=1,D1548*(1+C1548*F1549/365),OFFSET(D1548,-F1549+1,0)*(1+C1548*F1549/365))</f>
        <v>180.1741845713585</v>
      </c>
      <c r="E1549" s="31">
        <f>+E1548*(1+C1548*F1549/365)</f>
        <v>180.1741845713585</v>
      </c>
      <c r="F1549" s="32">
        <f t="shared" ref="F1549" si="462">IF(A1548="Working day",1,(IF(A1547="Working day",2,(IF(A1546="Working day",3,IF(A1545="Working day",4,IF(A1544="Working day",5,IF(A1543="Working day",6,7))))))))</f>
        <v>1</v>
      </c>
      <c r="G1549" s="20">
        <f t="shared" ref="G1549" ca="1" si="463">(D1549/OFFSET(D1549,-7,0)-1)*365/7</f>
        <v>0.13812148402463253</v>
      </c>
      <c r="H1549" s="20">
        <f t="shared" ca="1" si="460"/>
        <v>0.13808572011464584</v>
      </c>
      <c r="I1549" s="20">
        <f t="shared" ca="1" si="448"/>
        <v>0.13934159216310554</v>
      </c>
      <c r="J1549" s="20">
        <f t="shared" ca="1" si="449"/>
        <v>0.14251854005385467</v>
      </c>
      <c r="K1549" s="36">
        <v>14</v>
      </c>
    </row>
    <row r="1550" spans="1:11" x14ac:dyDescent="0.25">
      <c r="A1550" s="13" t="s">
        <v>7</v>
      </c>
      <c r="B1550" s="29">
        <v>46113</v>
      </c>
      <c r="C1550" s="20">
        <v>0.13800000000000001</v>
      </c>
      <c r="D1550" s="30">
        <f ca="1">+IF(F1550=1,D1549*(1+C1549*F1550/365),OFFSET(D1549,-F1550+1,0)*(1+C1549*F1550/365))</f>
        <v>180.24231854991694</v>
      </c>
      <c r="E1550" s="31">
        <f>+E1549*(1+C1549*F1550/365)</f>
        <v>180.24231854991694</v>
      </c>
      <c r="F1550" s="32">
        <f t="shared" ref="F1550" si="464">IF(A1549="Working day",1,(IF(A1548="Working day",2,(IF(A1547="Working day",3,IF(A1546="Working day",4,IF(A1545="Working day",5,IF(A1544="Working day",6,7))))))))</f>
        <v>1</v>
      </c>
      <c r="G1550" s="20">
        <f ca="1">(D1550/OFFSET(D1550,-7,0)-1)*365/7</f>
        <v>0.13813537262538059</v>
      </c>
      <c r="H1550" s="20">
        <f ca="1">($D1550/OFFSET($D1550,-30,0)-1)*365/30</f>
        <v>0.13809858950538659</v>
      </c>
      <c r="I1550" s="20">
        <f ca="1">($D1550/OFFSET($D1550,-90,0)-1)*365/90</f>
        <v>0.13937486373318245</v>
      </c>
      <c r="J1550" s="20">
        <f ca="1">($D1550/OFFSET($D1550,-180,0)-1)*365/180</f>
        <v>0.14250974925417079</v>
      </c>
      <c r="K1550" s="36">
        <v>14</v>
      </c>
    </row>
    <row r="1551" spans="1:11" x14ac:dyDescent="0.25">
      <c r="A1551" s="13" t="s">
        <v>7</v>
      </c>
      <c r="B1551" s="29">
        <v>46114</v>
      </c>
      <c r="C1551" s="20">
        <v>0.13797499999999999</v>
      </c>
      <c r="D1551" s="30">
        <f ca="1">+IF(F1551=1,D1550*(1+C1550*F1551/365),OFFSET(D1550,-F1551+1,0)*(1+C1550*F1551/365))</f>
        <v>180.31046496076598</v>
      </c>
      <c r="E1551" s="31">
        <f>+E1550*(1+C1550*F1551/365)</f>
        <v>180.31046496076598</v>
      </c>
      <c r="F1551" s="32">
        <f t="shared" ref="F1551" si="465">IF(A1550="Working day",1,(IF(A1549="Working day",2,(IF(A1548="Working day",3,IF(A1547="Working day",4,IF(A1546="Working day",5,IF(A1545="Working day",6,7))))))))</f>
        <v>1</v>
      </c>
      <c r="G1551" s="20">
        <f ca="1">(D1551/OFFSET(D1551,-7,0)-1)*365/7</f>
        <v>0.13815140895399386</v>
      </c>
      <c r="H1551" s="20">
        <f ca="1">($D1551/OFFSET($D1551,-30,0)-1)*365/30</f>
        <v>0.1381085981000939</v>
      </c>
      <c r="I1551" s="20">
        <f ca="1">($D1551/OFFSET($D1551,-90,0)-1)*365/90</f>
        <v>0.13940839992583456</v>
      </c>
      <c r="J1551" s="20">
        <f ca="1">($D1551/OFFSET($D1551,-180,0)-1)*365/180</f>
        <v>0.14249843836448187</v>
      </c>
      <c r="K1551" s="36">
        <v>14</v>
      </c>
    </row>
    <row r="1552" spans="1:11" x14ac:dyDescent="0.25">
      <c r="A1552" s="13" t="s">
        <v>7</v>
      </c>
      <c r="B1552" s="29">
        <v>46115</v>
      </c>
      <c r="C1552" s="20">
        <v>0.137684</v>
      </c>
      <c r="D1552" s="30">
        <f ca="1">+IF(F1552=1,D1551*(1+C1551*F1552/365),OFFSET(D1551,-F1552+1,0)*(1+C1551*F1552/365))</f>
        <v>180.37862478652752</v>
      </c>
      <c r="E1552" s="31">
        <f>+E1551*(1+C1551*F1552/365)</f>
        <v>180.37862478652752</v>
      </c>
      <c r="F1552" s="32">
        <f t="shared" ref="F1552:F1555" si="466">IF(A1551="Working day",1,(IF(A1550="Working day",2,(IF(A1549="Working day",3,IF(A1548="Working day",4,IF(A1547="Working day",5,IF(A1546="Working day",6,7))))))))</f>
        <v>1</v>
      </c>
      <c r="G1552" s="20">
        <f ca="1">(D1552/OFFSET(D1552,-7,0)-1)*365/7</f>
        <v>0.13813451354065104</v>
      </c>
      <c r="H1552" s="20">
        <f ca="1">($D1552/OFFSET($D1552,-30,0)-1)*365/30</f>
        <v>0.13814522899429735</v>
      </c>
      <c r="I1552" s="20">
        <f ca="1">($D1552/OFFSET($D1552,-90,0)-1)*365/90</f>
        <v>0.13944222329994743</v>
      </c>
      <c r="J1552" s="20">
        <f ca="1">($D1552/OFFSET($D1552,-180,0)-1)*365/180</f>
        <v>0.14248729754345449</v>
      </c>
      <c r="K1552" s="36">
        <v>14</v>
      </c>
    </row>
    <row r="1553" spans="1:11" x14ac:dyDescent="0.25">
      <c r="A1553" s="23" t="s">
        <v>6</v>
      </c>
      <c r="B1553" s="24">
        <v>46116</v>
      </c>
      <c r="C1553" s="28">
        <v>0.137684</v>
      </c>
      <c r="D1553" s="25">
        <f t="shared" ref="D1553:D1555" ca="1" si="467">+IF(F1553=1,D1552*(1+C1552*F1553/365),OFFSET(D1552,-F1553+1,0)*(1+C1552*F1553/365))</f>
        <v>180.44666656892508</v>
      </c>
      <c r="E1553" s="26">
        <f t="shared" ref="E1553" si="468">+E1552*(1+C1552*F1553/365)</f>
        <v>180.44666656892508</v>
      </c>
      <c r="F1553" s="27">
        <f t="shared" si="466"/>
        <v>1</v>
      </c>
      <c r="G1553" s="28">
        <f t="shared" ref="G1553:G1555" ca="1" si="469">(D1553/OFFSET(D1553,-7,0)-1)*365/7</f>
        <v>0.13808926819953302</v>
      </c>
      <c r="H1553" s="28">
        <f t="shared" ref="H1553:H1555" ca="1" si="470">($D1553/OFFSET($D1553,-30,0)-1)*365/30</f>
        <v>0.13817774871324598</v>
      </c>
      <c r="I1553" s="28">
        <f t="shared" ref="I1553:I1555" ca="1" si="471">($D1553/OFFSET($D1553,-90,0)-1)*365/90</f>
        <v>0.13947327739157442</v>
      </c>
      <c r="J1553" s="28">
        <f t="shared" ref="J1553:J1555" ca="1" si="472">($D1553/OFFSET($D1553,-180,0)-1)*365/180</f>
        <v>0.14247474553215472</v>
      </c>
      <c r="K1553" s="36">
        <v>14</v>
      </c>
    </row>
    <row r="1554" spans="1:11" x14ac:dyDescent="0.25">
      <c r="A1554" s="23" t="s">
        <v>6</v>
      </c>
      <c r="B1554" s="24">
        <v>46117</v>
      </c>
      <c r="C1554" s="28">
        <v>0.137684</v>
      </c>
      <c r="D1554" s="25">
        <f t="shared" ca="1" si="467"/>
        <v>180.51470835132264</v>
      </c>
      <c r="E1554" s="26">
        <f>+E1552*(1+C1553*F1554/365)</f>
        <v>180.51470835132264</v>
      </c>
      <c r="F1554" s="27">
        <f t="shared" si="466"/>
        <v>2</v>
      </c>
      <c r="G1554" s="28">
        <f t="shared" ca="1" si="469"/>
        <v>0.13804405704548456</v>
      </c>
      <c r="H1554" s="28">
        <f t="shared" ca="1" si="470"/>
        <v>0.13819389344322849</v>
      </c>
      <c r="I1554" s="28">
        <f t="shared" ca="1" si="471"/>
        <v>0.13950430853188256</v>
      </c>
      <c r="J1554" s="28">
        <f t="shared" ca="1" si="472"/>
        <v>0.1424711857807982</v>
      </c>
      <c r="K1554" s="36">
        <v>14</v>
      </c>
    </row>
    <row r="1555" spans="1:11" x14ac:dyDescent="0.25">
      <c r="A1555" s="13" t="s">
        <v>7</v>
      </c>
      <c r="B1555" s="29">
        <v>46118</v>
      </c>
      <c r="C1555" s="20">
        <v>0.13756599999999999</v>
      </c>
      <c r="D1555" s="30">
        <f t="shared" ca="1" si="467"/>
        <v>180.58275013372022</v>
      </c>
      <c r="E1555" s="31">
        <f>+E1552*(1+C1554*F1555/365)</f>
        <v>180.58275013372022</v>
      </c>
      <c r="F1555" s="32">
        <f t="shared" si="466"/>
        <v>3</v>
      </c>
      <c r="G1555" s="20">
        <f t="shared" ca="1" si="469"/>
        <v>0.13799888003977706</v>
      </c>
      <c r="H1555" s="20">
        <f t="shared" ca="1" si="470"/>
        <v>0.13823292419940642</v>
      </c>
      <c r="I1555" s="20">
        <f t="shared" ca="1" si="471"/>
        <v>0.13948163175469219</v>
      </c>
      <c r="J1555" s="20">
        <f t="shared" ca="1" si="472"/>
        <v>0.14251830331351351</v>
      </c>
      <c r="K1555" s="36">
        <v>14</v>
      </c>
    </row>
    <row r="1556" spans="1:11" x14ac:dyDescent="0.25">
      <c r="A1556" s="13" t="s">
        <v>7</v>
      </c>
      <c r="B1556" s="29">
        <v>46119</v>
      </c>
      <c r="C1556" s="20">
        <v>0.13600000000000001</v>
      </c>
      <c r="D1556" s="30">
        <f ca="1">+IF(F1556=1,D1555*(1+C1555*F1556/365),OFFSET(D1555,-F1556+1,0)*(1+C1555*F1556/365))</f>
        <v>180.65081053537747</v>
      </c>
      <c r="E1556" s="31">
        <f>+E1555*(1+C1555*F1556/365)</f>
        <v>180.65081053537747</v>
      </c>
      <c r="F1556" s="32">
        <f t="shared" ref="F1556" si="473">IF(A1555="Working day",1,(IF(A1554="Working day",2,(IF(A1553="Working day",3,IF(A1552="Working day",4,IF(A1551="Working day",5,IF(A1550="Working day",6,7))))))))</f>
        <v>1</v>
      </c>
      <c r="G1556" s="20">
        <f ca="1">(D1556/OFFSET(D1556,-7,0)-1)*365/7</f>
        <v>0.13793673944768667</v>
      </c>
      <c r="H1556" s="20">
        <f ca="1">($D1556/OFFSET($D1556,-30,0)-1)*365/30</f>
        <v>0.13827319404277871</v>
      </c>
      <c r="I1556" s="20">
        <f ca="1">($D1556/OFFSET($D1556,-90,0)-1)*365/90</f>
        <v>0.13945987184840145</v>
      </c>
      <c r="J1556" s="20">
        <f ca="1">($D1556/OFFSET($D1556,-180,0)-1)*365/180</f>
        <v>0.14257999552331788</v>
      </c>
      <c r="K1556" s="36">
        <v>14</v>
      </c>
    </row>
    <row r="1557" spans="1:11" x14ac:dyDescent="0.25">
      <c r="A1557" s="13" t="s">
        <v>7</v>
      </c>
      <c r="B1557" s="29">
        <v>46120</v>
      </c>
      <c r="C1557" s="20">
        <v>0.13597899999999999</v>
      </c>
      <c r="D1557" s="30">
        <f ca="1">+IF(F1557=1,D1556*(1+C1556*F1557/365),OFFSET(D1556,-F1557+1,0)*(1+C1556*F1557/365))</f>
        <v>180.71812152231666</v>
      </c>
      <c r="E1557" s="31">
        <f>+E1556*(1+C1556*F1557/365)</f>
        <v>180.71812152231666</v>
      </c>
      <c r="F1557" s="32">
        <f>IF(A1556="Working day",1,(IF(A1555="Working day",2,(IF(A1554="Working day",3,IF(A1553="Working day",4,IF(A1552="Working day",5,IF(A1551="Working day",6,7))))))))</f>
        <v>1</v>
      </c>
      <c r="G1557" s="20">
        <f ca="1">(D1557/OFFSET(D1557,-7,0)-1)*365/7</f>
        <v>0.1376465117492103</v>
      </c>
      <c r="H1557" s="20">
        <f ca="1">($D1557/OFFSET($D1557,-30,0)-1)*365/30</f>
        <v>0.13826240686522048</v>
      </c>
      <c r="I1557" s="20">
        <f ca="1">($D1557/OFFSET($D1557,-90,0)-1)*365/90</f>
        <v>0.13945279469045474</v>
      </c>
      <c r="J1557" s="20">
        <f ca="1">($D1557/OFFSET($D1557,-180,0)-1)*365/180</f>
        <v>0.14260932941637172</v>
      </c>
      <c r="K1557" s="36">
        <v>14</v>
      </c>
    </row>
    <row r="1558" spans="1:11" x14ac:dyDescent="0.25">
      <c r="A1558" s="13" t="s">
        <v>7</v>
      </c>
      <c r="B1558" s="29">
        <v>46121</v>
      </c>
      <c r="C1558" s="20">
        <v>0.136602</v>
      </c>
      <c r="D1558" s="30">
        <f ca="1">+IF(F1558=1,D1557*(1+C1557*F1558/365),OFFSET(D1557,-F1558+1,0)*(1+C1557*F1558/365))</f>
        <v>180.78544719203305</v>
      </c>
      <c r="E1558" s="31">
        <f>+E1557*(1+C1557*F1558/365)</f>
        <v>180.78544719203305</v>
      </c>
      <c r="F1558" s="32">
        <f>IF(A1557="Working day",1,(IF(A1556="Working day",2,(IF(A1555="Working day",3,IF(A1554="Working day",4,IF(A1553="Working day",5,IF(A1552="Working day",6,7))))))))</f>
        <v>1</v>
      </c>
      <c r="G1558" s="20">
        <f ca="1">(D1558/OFFSET(D1558,-7,0)-1)*365/7</f>
        <v>0.13735714472114555</v>
      </c>
      <c r="H1558" s="20">
        <f ca="1">($D1558/OFFSET($D1558,-30,0)-1)*365/30</f>
        <v>0.13825262710279326</v>
      </c>
      <c r="I1558" s="20">
        <f ca="1">($D1558/OFFSET($D1558,-90,0)-1)*365/90</f>
        <v>0.13942802478247696</v>
      </c>
      <c r="J1558" s="20">
        <f ca="1">($D1558/OFFSET($D1558,-180,0)-1)*365/180</f>
        <v>0.14262077772017742</v>
      </c>
      <c r="K1558" s="36">
        <v>14</v>
      </c>
    </row>
    <row r="1559" spans="1:11" x14ac:dyDescent="0.25">
      <c r="A1559" s="13" t="s">
        <v>7</v>
      </c>
      <c r="B1559" s="29">
        <v>46122</v>
      </c>
      <c r="C1559" s="20">
        <v>0.13689899999999999</v>
      </c>
      <c r="D1559" s="30">
        <f ca="1">+IF(F1559=1,D1558*(1+C1558*F1559/365),OFFSET(D1558,-F1559+1,0)*(1+C1558*F1559/365))</f>
        <v>180.8531065171216</v>
      </c>
      <c r="E1559" s="31">
        <f>+E1558*(1+C1558*F1559/365)</f>
        <v>180.8531065171216</v>
      </c>
      <c r="F1559" s="32">
        <f>IF(A1558="Working day",1,(IF(A1557="Working day",2,(IF(A1556="Working day",3,IF(A1555="Working day",4,IF(A1554="Working day",5,IF(A1553="Working day",6,7))))))))</f>
        <v>1</v>
      </c>
      <c r="G1559" s="20">
        <f ca="1">(D1559/OFFSET(D1559,-7,0)-1)*365/7</f>
        <v>0.13716055948726333</v>
      </c>
      <c r="H1559" s="20">
        <f ca="1">($D1559/OFFSET($D1559,-30,0)-1)*365/30</f>
        <v>0.13825778312777259</v>
      </c>
      <c r="I1559" s="20">
        <f ca="1">($D1559/OFFSET($D1559,-90,0)-1)*365/90</f>
        <v>0.13942114299897759</v>
      </c>
      <c r="J1559" s="20">
        <f ca="1">($D1559/OFFSET($D1559,-180,0)-1)*365/180</f>
        <v>0.14263622181145066</v>
      </c>
      <c r="K1559" s="36">
        <v>14</v>
      </c>
    </row>
    <row r="1560" spans="1:11" x14ac:dyDescent="0.25">
      <c r="A1560" s="23" t="s">
        <v>6</v>
      </c>
      <c r="B1560" s="24">
        <v>46123</v>
      </c>
      <c r="C1560" s="28">
        <v>0.13689899999999999</v>
      </c>
      <c r="D1560" s="25">
        <f t="shared" ref="D1560:D1562" ca="1" si="474">+IF(F1560=1,D1559*(1+C1559*F1560/365),OFFSET(D1559,-F1560+1,0)*(1+C1559*F1560/365))</f>
        <v>180.92093832377665</v>
      </c>
      <c r="E1560" s="26">
        <f t="shared" ref="E1560" si="475">+E1559*(1+C1559*F1560/365)</f>
        <v>180.92093832377665</v>
      </c>
      <c r="F1560" s="27">
        <f t="shared" ref="F1560:F1562" si="476">IF(A1559="Working day",1,(IF(A1558="Working day",2,(IF(A1557="Working day",3,IF(A1556="Working day",4,IF(A1555="Working day",5,IF(A1554="Working day",6,7))))))))</f>
        <v>1</v>
      </c>
      <c r="G1560" s="28">
        <f t="shared" ref="G1560:G1562" ca="1" si="477">(D1560/OFFSET(D1560,-7,0)-1)*365/7</f>
        <v>0.13704816403838868</v>
      </c>
      <c r="H1560" s="28">
        <f t="shared" ref="H1560:H1576" ca="1" si="478">($D1560/OFFSET($D1560,-30,0)-1)*365/30</f>
        <v>0.13827234132133229</v>
      </c>
      <c r="I1560" s="28">
        <f t="shared" ref="I1560:I1576" ca="1" si="479">($D1560/OFFSET($D1560,-90,0)-1)*365/90</f>
        <v>0.13941826567719418</v>
      </c>
      <c r="J1560" s="28">
        <f t="shared" ref="J1560:J1576" ca="1" si="480">($D1560/OFFSET($D1560,-180,0)-1)*365/180</f>
        <v>0.14265372375890334</v>
      </c>
      <c r="K1560" s="36">
        <v>14</v>
      </c>
    </row>
    <row r="1561" spans="1:11" x14ac:dyDescent="0.25">
      <c r="A1561" s="23" t="s">
        <v>6</v>
      </c>
      <c r="B1561" s="24">
        <v>46124</v>
      </c>
      <c r="C1561" s="28">
        <v>0.13689899999999999</v>
      </c>
      <c r="D1561" s="25">
        <f t="shared" ca="1" si="474"/>
        <v>180.98877013043165</v>
      </c>
      <c r="E1561" s="26">
        <f>+E1559*(1+C1560*F1561/365)</f>
        <v>180.98877013043165</v>
      </c>
      <c r="F1561" s="27">
        <f t="shared" si="476"/>
        <v>2</v>
      </c>
      <c r="G1561" s="28">
        <f t="shared" ca="1" si="477"/>
        <v>0.13693585332039032</v>
      </c>
      <c r="H1561" s="28">
        <f t="shared" ca="1" si="478"/>
        <v>0.13825942340054867</v>
      </c>
      <c r="I1561" s="28">
        <f t="shared" ca="1" si="479"/>
        <v>0.13941539051610458</v>
      </c>
      <c r="J1561" s="28">
        <f t="shared" ca="1" si="480"/>
        <v>0.14263961641814618</v>
      </c>
      <c r="K1561" s="36">
        <v>14</v>
      </c>
    </row>
    <row r="1562" spans="1:11" x14ac:dyDescent="0.25">
      <c r="A1562" s="13" t="s">
        <v>7</v>
      </c>
      <c r="B1562" s="29">
        <v>46125</v>
      </c>
      <c r="C1562" s="20">
        <v>0.13700000000000001</v>
      </c>
      <c r="D1562" s="30">
        <f t="shared" ca="1" si="474"/>
        <v>181.0566019370867</v>
      </c>
      <c r="E1562" s="31">
        <f>+E1559*(1+C1561*F1562/365)</f>
        <v>181.0566019370867</v>
      </c>
      <c r="F1562" s="32">
        <f t="shared" si="476"/>
        <v>3</v>
      </c>
      <c r="G1562" s="20">
        <f t="shared" ca="1" si="477"/>
        <v>0.13682362723752942</v>
      </c>
      <c r="H1562" s="20">
        <f t="shared" ca="1" si="478"/>
        <v>0.13825643711104385</v>
      </c>
      <c r="I1562" s="20">
        <f t="shared" ca="1" si="479"/>
        <v>0.13943337493083721</v>
      </c>
      <c r="J1562" s="20">
        <f t="shared" ca="1" si="480"/>
        <v>0.14262434836486815</v>
      </c>
      <c r="K1562" s="36">
        <v>14</v>
      </c>
    </row>
    <row r="1563" spans="1:11" x14ac:dyDescent="0.25">
      <c r="A1563" s="13" t="s">
        <v>7</v>
      </c>
      <c r="B1563" s="29">
        <v>46126</v>
      </c>
      <c r="C1563" s="20">
        <v>0.13700000000000001</v>
      </c>
      <c r="D1563" s="30">
        <f t="shared" ref="D1563" ca="1" si="481">+IF(F1563=1,D1562*(1+C1562*F1563/365),OFFSET(D1562,-F1563+1,0)*(1+C1562*F1563/365))</f>
        <v>181.12456016849868</v>
      </c>
      <c r="E1563" s="31">
        <f>+E1562*(1+C1562*F1563/365)</f>
        <v>181.12456016849868</v>
      </c>
      <c r="F1563" s="32">
        <f t="shared" ref="F1563" si="482">IF(A1562="Working day",1,(IF(A1561="Working day",2,(IF(A1560="Working day",3,IF(A1559="Working day",4,IF(A1558="Working day",5,IF(A1557="Working day",6,7))))))))</f>
        <v>1</v>
      </c>
      <c r="G1563" s="20">
        <f t="shared" ref="G1563" ca="1" si="483">(D1563/OFFSET(D1563,-7,0)-1)*365/7</f>
        <v>0.13674258846727905</v>
      </c>
      <c r="H1563" s="20">
        <f t="shared" ca="1" si="478"/>
        <v>0.13826204188733487</v>
      </c>
      <c r="I1563" s="20">
        <f t="shared" ca="1" si="479"/>
        <v>0.13945782325699924</v>
      </c>
      <c r="J1563" s="20">
        <f t="shared" ca="1" si="480"/>
        <v>0.14260986869201422</v>
      </c>
      <c r="K1563" s="36">
        <v>14</v>
      </c>
    </row>
    <row r="1564" spans="1:11" x14ac:dyDescent="0.25">
      <c r="A1564" s="13" t="s">
        <v>7</v>
      </c>
      <c r="B1564" s="29">
        <v>46127</v>
      </c>
      <c r="C1564" s="20">
        <v>0.13700000000000001</v>
      </c>
      <c r="D1564" s="30">
        <f t="shared" ref="D1564" ca="1" si="484">+IF(F1564=1,D1563*(1+C1563*F1564/365),OFFSET(D1563,-F1564+1,0)*(1+C1563*F1564/365))</f>
        <v>181.19254390752081</v>
      </c>
      <c r="E1564" s="31">
        <f>+E1563*(1+C1563*F1564/365)</f>
        <v>181.19254390752081</v>
      </c>
      <c r="F1564" s="32">
        <f t="shared" ref="F1564" si="485">IF(A1563="Working day",1,(IF(A1562="Working day",2,(IF(A1561="Working day",3,IF(A1560="Working day",4,IF(A1559="Working day",5,IF(A1558="Working day",6,7))))))))</f>
        <v>1</v>
      </c>
      <c r="G1564" s="20">
        <f t="shared" ref="G1564" ca="1" si="486">(D1564/OFFSET(D1564,-7,0)-1)*365/7</f>
        <v>0.13688576689868751</v>
      </c>
      <c r="H1564" s="20">
        <f t="shared" ca="1" si="478"/>
        <v>0.13826937470744116</v>
      </c>
      <c r="I1564" s="20">
        <f t="shared" ca="1" si="479"/>
        <v>0.13949249696857136</v>
      </c>
      <c r="J1564" s="20">
        <f t="shared" ca="1" si="480"/>
        <v>0.1425925241321889</v>
      </c>
      <c r="K1564" s="36">
        <v>14</v>
      </c>
    </row>
    <row r="1565" spans="1:11" x14ac:dyDescent="0.25">
      <c r="A1565" s="13" t="s">
        <v>7</v>
      </c>
      <c r="B1565" s="29">
        <v>46128</v>
      </c>
      <c r="C1565" s="20">
        <v>0.13694899999999999</v>
      </c>
      <c r="D1565" s="30">
        <f t="shared" ref="D1565" ca="1" si="487">+IF(F1565=1,D1564*(1+C1564*F1565/365),OFFSET(D1564,-F1565+1,0)*(1+C1564*F1565/365))</f>
        <v>181.2605531637272</v>
      </c>
      <c r="E1565" s="31">
        <f>+E1564*(1+C1564*F1565/365)</f>
        <v>181.2605531637272</v>
      </c>
      <c r="F1565" s="32">
        <f t="shared" ref="F1565" si="488">IF(A1564="Working day",1,(IF(A1563="Working day",2,(IF(A1562="Working day",3,IF(A1561="Working day",4,IF(A1560="Working day",5,IF(A1559="Working day",6,7))))))))</f>
        <v>1</v>
      </c>
      <c r="G1565" s="20">
        <f t="shared" ref="G1565" ca="1" si="489">(D1565/OFFSET(D1565,-7,0)-1)*365/7</f>
        <v>0.13703195248593331</v>
      </c>
      <c r="H1565" s="20">
        <f t="shared" ca="1" si="478"/>
        <v>0.13827429483709217</v>
      </c>
      <c r="I1565" s="20">
        <f t="shared" ca="1" si="479"/>
        <v>0.13952797520808993</v>
      </c>
      <c r="J1565" s="20">
        <f t="shared" ca="1" si="480"/>
        <v>0.14257485874074499</v>
      </c>
      <c r="K1565" s="36">
        <v>14</v>
      </c>
    </row>
    <row r="1566" spans="1:11" x14ac:dyDescent="0.25">
      <c r="A1566" s="13" t="s">
        <v>7</v>
      </c>
      <c r="B1566" s="29">
        <v>46129</v>
      </c>
      <c r="C1566" s="20">
        <v>0.13700000000000001</v>
      </c>
      <c r="D1566" s="30">
        <f t="shared" ref="D1566" ca="1" si="490">+IF(F1566=1,D1565*(1+C1565*F1566/365),OFFSET(D1565,-F1566+1,0)*(1+C1565*F1566/365))</f>
        <v>181.32856261987851</v>
      </c>
      <c r="E1566" s="31">
        <f>+E1565*(1+C1565*F1566/365)</f>
        <v>181.32856261987851</v>
      </c>
      <c r="F1566" s="32">
        <f t="shared" ref="F1566" si="491">IF(A1565="Working day",1,(IF(A1564="Working day",2,(IF(A1563="Working day",3,IF(A1562="Working day",4,IF(A1561="Working day",5,IF(A1560="Working day",6,7))))))))</f>
        <v>1</v>
      </c>
      <c r="G1566" s="20">
        <f t="shared" ref="G1566" ca="1" si="492">(D1566/OFFSET(D1566,-7,0)-1)*365/7</f>
        <v>0.13708163559472494</v>
      </c>
      <c r="H1566" s="20">
        <f t="shared" ca="1" si="478"/>
        <v>0.13826280331052959</v>
      </c>
      <c r="I1566" s="20">
        <f t="shared" ca="1" si="479"/>
        <v>0.13957341496740308</v>
      </c>
      <c r="J1566" s="20">
        <f t="shared" ca="1" si="480"/>
        <v>0.14255720928089541</v>
      </c>
      <c r="K1566" s="36">
        <v>14</v>
      </c>
    </row>
    <row r="1567" spans="1:11" x14ac:dyDescent="0.25">
      <c r="A1567" s="23" t="s">
        <v>6</v>
      </c>
      <c r="B1567" s="24">
        <v>46130</v>
      </c>
      <c r="C1567" s="28">
        <v>0.13700000000000001</v>
      </c>
      <c r="D1567" s="25">
        <f ca="1">+IF(F1567=1,D1566*(1+C1566*F1567/365),OFFSET(D1566,-F1567+1,0)*(1+C1566*F1567/365))</f>
        <v>181.39662292968376</v>
      </c>
      <c r="E1567" s="26">
        <f t="shared" ref="E1567:E1568" si="493">+E1566*(1+C1566*F1567/365)</f>
        <v>181.39662292968376</v>
      </c>
      <c r="F1567" s="27">
        <f t="shared" ref="F1567:F1569" si="494">IF(A1566="Working day",1,(IF(A1565="Working day",2,(IF(A1564="Working day",3,IF(A1563="Working day",4,IF(A1562="Working day",5,IF(A1561="Working day",6,7))))))))</f>
        <v>1</v>
      </c>
      <c r="G1567" s="28">
        <f t="shared" ref="G1567:G1569" ca="1" si="495">(D1567/OFFSET(D1567,-7,0)-1)*365/7</f>
        <v>0.13709609667445674</v>
      </c>
      <c r="H1567" s="28">
        <f t="shared" ca="1" si="478"/>
        <v>0.1382597366580019</v>
      </c>
      <c r="I1567" s="28">
        <f t="shared" ca="1" si="479"/>
        <v>0.13961999773421913</v>
      </c>
      <c r="J1567" s="28">
        <f t="shared" ca="1" si="480"/>
        <v>0.142540181780095</v>
      </c>
      <c r="K1567" s="36">
        <v>14</v>
      </c>
    </row>
    <row r="1568" spans="1:11" x14ac:dyDescent="0.25">
      <c r="A1568" s="23" t="s">
        <v>6</v>
      </c>
      <c r="B1568" s="24">
        <v>46131</v>
      </c>
      <c r="C1568" s="28">
        <v>0.13700000000000001</v>
      </c>
      <c r="D1568" s="25">
        <f t="shared" ref="D1568:D1569" ca="1" si="496">+IF(F1568=1,D1567*(1+C1567*F1568/365),OFFSET(D1567,-F1568+1,0)*(1+C1567*F1568/365))</f>
        <v>181.46468323948906</v>
      </c>
      <c r="E1568" s="26">
        <f t="shared" si="493"/>
        <v>181.53279464114331</v>
      </c>
      <c r="F1568" s="27">
        <f t="shared" si="494"/>
        <v>2</v>
      </c>
      <c r="G1568" s="28">
        <f t="shared" ca="1" si="495"/>
        <v>0.13711054691465369</v>
      </c>
      <c r="H1568" s="28">
        <f t="shared" ca="1" si="478"/>
        <v>0.13821480184298987</v>
      </c>
      <c r="I1568" s="28">
        <f t="shared" ca="1" si="479"/>
        <v>0.13966654659164593</v>
      </c>
      <c r="J1568" s="28">
        <f t="shared" ca="1" si="480"/>
        <v>0.14252204486297523</v>
      </c>
      <c r="K1568" s="36">
        <v>14</v>
      </c>
    </row>
    <row r="1569" spans="1:11" x14ac:dyDescent="0.25">
      <c r="A1569" s="13" t="s">
        <v>7</v>
      </c>
      <c r="B1569" s="29">
        <v>46132</v>
      </c>
      <c r="C1569" s="20">
        <v>0.136797</v>
      </c>
      <c r="D1569" s="30">
        <f t="shared" ca="1" si="496"/>
        <v>181.53274354929431</v>
      </c>
      <c r="E1569" s="31">
        <f>+E1566*(1+C1568*F1569/365)</f>
        <v>181.53274354929431</v>
      </c>
      <c r="F1569" s="32">
        <f t="shared" si="494"/>
        <v>3</v>
      </c>
      <c r="G1569" s="20">
        <f t="shared" ca="1" si="495"/>
        <v>0.13712498632741488</v>
      </c>
      <c r="H1569" s="20">
        <f t="shared" ca="1" si="478"/>
        <v>0.13816990104973151</v>
      </c>
      <c r="I1569" s="20">
        <f t="shared" ca="1" si="479"/>
        <v>0.13965756454162404</v>
      </c>
      <c r="J1569" s="20">
        <f t="shared" ca="1" si="480"/>
        <v>0.14250430415882914</v>
      </c>
      <c r="K1569" s="36">
        <v>14</v>
      </c>
    </row>
    <row r="1570" spans="1:11" x14ac:dyDescent="0.25">
      <c r="A1570" s="13" t="s">
        <v>7</v>
      </c>
      <c r="B1570" s="29">
        <v>46133</v>
      </c>
      <c r="C1570" s="20">
        <v>0.13641900000000001</v>
      </c>
      <c r="D1570" s="30">
        <f t="shared" ref="D1570" ca="1" si="497">+IF(F1570=1,D1569*(1+C1569*F1570/365),OFFSET(D1569,-F1570+1,0)*(1+C1569*F1570/365))</f>
        <v>181.60077953482667</v>
      </c>
      <c r="E1570" s="31">
        <f>+E1569*(1+C1569*F1570/365)</f>
        <v>181.60077953482667</v>
      </c>
      <c r="F1570" s="32">
        <f t="shared" ref="F1570" si="498">IF(A1569="Working day",1,(IF(A1568="Working day",2,(IF(A1567="Working day",3,IF(A1566="Working day",4,IF(A1565="Working day",5,IF(A1564="Working day",6,7))))))))</f>
        <v>1</v>
      </c>
      <c r="G1570" s="20">
        <f t="shared" ref="G1570" ca="1" si="499">(D1570/OFFSET(D1570,-7,0)-1)*365/7</f>
        <v>0.13709592097284681</v>
      </c>
      <c r="H1570" s="20">
        <f t="shared" ca="1" si="478"/>
        <v>0.13812338609101119</v>
      </c>
      <c r="I1570" s="20">
        <f t="shared" ca="1" si="479"/>
        <v>0.13964457003824568</v>
      </c>
      <c r="J1570" s="20">
        <f t="shared" ca="1" si="480"/>
        <v>0.1424858786881828</v>
      </c>
      <c r="K1570" s="36">
        <v>14</v>
      </c>
    </row>
    <row r="1571" spans="1:11" x14ac:dyDescent="0.25">
      <c r="A1571" s="13" t="s">
        <v>7</v>
      </c>
      <c r="B1571" s="29">
        <v>46134</v>
      </c>
      <c r="C1571" s="20">
        <v>0.135381</v>
      </c>
      <c r="D1571" s="30">
        <f t="shared" ref="D1571" ca="1" si="500">+IF(F1571=1,D1570*(1+C1570*F1571/365),OFFSET(D1570,-F1571+1,0)*(1+C1570*F1571/365))</f>
        <v>181.66865295056192</v>
      </c>
      <c r="E1571" s="31">
        <f>+E1570*(1+C1570*F1571/365)</f>
        <v>181.66865295056192</v>
      </c>
      <c r="F1571" s="32">
        <f t="shared" ref="F1571" si="501">IF(A1570="Working day",1,(IF(A1569="Working day",2,(IF(A1568="Working day",3,IF(A1567="Working day",4,IF(A1566="Working day",5,IF(A1565="Working day",6,7))))))))</f>
        <v>1</v>
      </c>
      <c r="G1571" s="20">
        <f t="shared" ref="G1571" ca="1" si="502">(D1571/OFFSET(D1571,-7,0)-1)*365/7</f>
        <v>0.13701273396981287</v>
      </c>
      <c r="H1571" s="20">
        <f t="shared" ca="1" si="478"/>
        <v>0.13806589518981841</v>
      </c>
      <c r="I1571" s="20">
        <f t="shared" ca="1" si="479"/>
        <v>0.13962720961943179</v>
      </c>
      <c r="J1571" s="20">
        <f t="shared" ca="1" si="480"/>
        <v>0.14246459448444201</v>
      </c>
      <c r="K1571" s="36">
        <v>14</v>
      </c>
    </row>
    <row r="1572" spans="1:11" x14ac:dyDescent="0.25">
      <c r="A1572" s="13" t="s">
        <v>7</v>
      </c>
      <c r="B1572" s="29">
        <v>46135</v>
      </c>
      <c r="C1572" s="20">
        <v>0.1363</v>
      </c>
      <c r="D1572" s="30">
        <f t="shared" ref="D1572:D1576" ca="1" si="503">+IF(F1572=1,D1571*(1+C1571*F1572/365),OFFSET(D1571,-F1572+1,0)*(1+C1571*F1572/365))</f>
        <v>181.73603509824716</v>
      </c>
      <c r="E1572" s="31">
        <f>+E1571*(1+C1571*F1572/365)</f>
        <v>181.73603509824716</v>
      </c>
      <c r="F1572" s="32">
        <f t="shared" ref="F1572" si="504">IF(A1571="Working day",1,(IF(A1570="Working day",2,(IF(A1569="Working day",3,IF(A1568="Working day",4,IF(A1567="Working day",5,IF(A1566="Working day",6,7))))))))</f>
        <v>1</v>
      </c>
      <c r="G1572" s="20">
        <f t="shared" ref="G1572" ca="1" si="505">(D1572/OFFSET(D1572,-7,0)-1)*365/7</f>
        <v>0.13678092752639917</v>
      </c>
      <c r="H1572" s="20">
        <f t="shared" ca="1" si="478"/>
        <v>0.13797518591398475</v>
      </c>
      <c r="I1572" s="20">
        <f t="shared" ca="1" si="479"/>
        <v>0.13959184557537457</v>
      </c>
      <c r="J1572" s="20">
        <f t="shared" ca="1" si="480"/>
        <v>0.14244077848027675</v>
      </c>
      <c r="K1572" s="36">
        <v>14</v>
      </c>
    </row>
    <row r="1573" spans="1:11" x14ac:dyDescent="0.25">
      <c r="A1573" s="13" t="s">
        <v>7</v>
      </c>
      <c r="B1573" s="29">
        <v>46136</v>
      </c>
      <c r="C1573" s="20">
        <v>0.13573199999999999</v>
      </c>
      <c r="D1573" s="30">
        <f t="shared" ca="1" si="503"/>
        <v>181.80389981491535</v>
      </c>
      <c r="E1573" s="31">
        <f>+E1572*(1+C1572*F1573/365)</f>
        <v>181.80389981491535</v>
      </c>
      <c r="F1573" s="32">
        <f t="shared" ref="F1573" si="506">IF(A1572="Working day",1,(IF(A1571="Working day",2,(IF(A1570="Working day",3,IF(A1569="Working day",4,IF(A1568="Working day",5,IF(A1567="Working day",6,7))))))))</f>
        <v>1</v>
      </c>
      <c r="G1573" s="20">
        <f t="shared" ref="G1573" ca="1" si="507">(D1573/OFFSET(D1573,-7,0)-1)*365/7</f>
        <v>0.13668800489777033</v>
      </c>
      <c r="H1573" s="20">
        <f t="shared" ca="1" si="478"/>
        <v>0.13792025717453646</v>
      </c>
      <c r="I1573" s="20">
        <f t="shared" ca="1" si="479"/>
        <v>0.13957084330565583</v>
      </c>
      <c r="J1573" s="20">
        <f t="shared" ca="1" si="480"/>
        <v>0.14242274109767933</v>
      </c>
      <c r="K1573" s="36">
        <v>14</v>
      </c>
    </row>
    <row r="1574" spans="1:11" x14ac:dyDescent="0.25">
      <c r="A1574" s="23" t="s">
        <v>6</v>
      </c>
      <c r="B1574" s="24">
        <v>46137</v>
      </c>
      <c r="C1574" s="28">
        <v>0.13573199999999999</v>
      </c>
      <c r="D1574" s="25">
        <f t="shared" ca="1" si="503"/>
        <v>181.87150695718844</v>
      </c>
      <c r="E1574" s="26">
        <f>+E1573*(1+C1573*F1574/365)</f>
        <v>181.87150695718844</v>
      </c>
      <c r="F1574" s="27">
        <f t="shared" ref="F1574:F1576" si="508">IF(A1573="Working day",1,(IF(A1572="Working day",2,(IF(A1571="Working day",3,IF(A1570="Working day",4,IF(A1569="Working day",5,IF(A1568="Working day",6,7))))))))</f>
        <v>1</v>
      </c>
      <c r="G1574" s="28">
        <f t="shared" ref="G1574:G1576" ca="1" si="509">(D1574/OFFSET(D1574,-7,0)-1)*365/7</f>
        <v>0.13650645533351188</v>
      </c>
      <c r="H1574" s="28">
        <f t="shared" ca="1" si="478"/>
        <v>0.13784760328054227</v>
      </c>
      <c r="I1574" s="28">
        <f t="shared" ca="1" si="479"/>
        <v>0.13954391563617283</v>
      </c>
      <c r="J1574" s="28">
        <f t="shared" ca="1" si="480"/>
        <v>0.14240164397256286</v>
      </c>
      <c r="K1574" s="36">
        <v>14</v>
      </c>
    </row>
    <row r="1575" spans="1:11" x14ac:dyDescent="0.25">
      <c r="A1575" s="23" t="s">
        <v>6</v>
      </c>
      <c r="B1575" s="24">
        <v>46138</v>
      </c>
      <c r="C1575" s="28">
        <v>0.13573199999999999</v>
      </c>
      <c r="D1575" s="25">
        <f t="shared" ca="1" si="503"/>
        <v>181.93911409946156</v>
      </c>
      <c r="E1575" s="26">
        <f>+E1573*(1+C1574*F1575/365)</f>
        <v>181.93911409946156</v>
      </c>
      <c r="F1575" s="27">
        <f t="shared" si="508"/>
        <v>2</v>
      </c>
      <c r="G1575" s="28">
        <f t="shared" ca="1" si="509"/>
        <v>0.13632504195354206</v>
      </c>
      <c r="H1575" s="28">
        <f t="shared" ca="1" si="478"/>
        <v>0.13776634144691122</v>
      </c>
      <c r="I1575" s="28">
        <f t="shared" ca="1" si="479"/>
        <v>0.13951700832421074</v>
      </c>
      <c r="J1575" s="28">
        <f t="shared" ca="1" si="480"/>
        <v>0.14237959709236908</v>
      </c>
      <c r="K1575" s="36">
        <v>14</v>
      </c>
    </row>
    <row r="1576" spans="1:11" x14ac:dyDescent="0.25">
      <c r="A1576" s="13" t="s">
        <v>7</v>
      </c>
      <c r="B1576" s="29">
        <v>46139</v>
      </c>
      <c r="C1576" s="20">
        <v>0.13438900000000001</v>
      </c>
      <c r="D1576" s="30">
        <f t="shared" ca="1" si="503"/>
        <v>182.00672124173462</v>
      </c>
      <c r="E1576" s="31">
        <f>+E1573*(1+C1575*F1576/365)</f>
        <v>182.00672124173462</v>
      </c>
      <c r="F1576" s="32">
        <f t="shared" si="508"/>
        <v>3</v>
      </c>
      <c r="G1576" s="20">
        <f t="shared" ca="1" si="509"/>
        <v>0.13614376460467179</v>
      </c>
      <c r="H1576" s="20">
        <f t="shared" ca="1" si="478"/>
        <v>0.1376865150524417</v>
      </c>
      <c r="I1576" s="20">
        <f t="shared" ca="1" si="479"/>
        <v>0.13948933276144238</v>
      </c>
      <c r="J1576" s="20">
        <f t="shared" ca="1" si="480"/>
        <v>0.14236081677161355</v>
      </c>
      <c r="K1576" s="36">
        <v>14</v>
      </c>
    </row>
    <row r="1577" spans="1:11" x14ac:dyDescent="0.25">
      <c r="A1577" s="13" t="s">
        <v>7</v>
      </c>
      <c r="B1577" s="29">
        <v>46140</v>
      </c>
      <c r="C1577" s="20">
        <v>0.13459099999999999</v>
      </c>
      <c r="D1577" s="30">
        <f ca="1">+IF(F1577=1,D1576*(1+C1576*F1577/365),OFFSET(D1576,-F1577+1,0)*(1+C1576*F1577/365))</f>
        <v>182.07373412190162</v>
      </c>
      <c r="E1577" s="31">
        <f>+E1576*(1+C1576*F1577/365)</f>
        <v>182.07373412190162</v>
      </c>
      <c r="F1577" s="32">
        <f>IF(A1576="Working day",1,(IF(A1575="Working day",2,(IF(A1574="Working day",3,IF(A1573="Working day",4,IF(A1572="Working day",5,IF(A1571="Working day",6,7))))))))</f>
        <v>1</v>
      </c>
      <c r="G1577" s="20">
        <f t="shared" ref="G1577" ca="1" si="510">(D1577/OFFSET(D1577,-7,0)-1)*365/7</f>
        <v>0.13579899564351683</v>
      </c>
      <c r="H1577" s="20">
        <f ca="1">($D1577/OFFSET($D1577,-30,0)-1)*365/30</f>
        <v>0.13756658975191505</v>
      </c>
      <c r="I1577" s="20">
        <f ca="1">($D1577/OFFSET($D1577,-90,0)-1)*365/90</f>
        <v>0.13944481319024232</v>
      </c>
      <c r="J1577" s="20">
        <f ca="1">($D1577/OFFSET($D1577,-180,0)-1)*365/180</f>
        <v>0.14233064850835558</v>
      </c>
      <c r="K1577" s="36">
        <v>14</v>
      </c>
    </row>
    <row r="1578" spans="1:11" x14ac:dyDescent="0.25">
      <c r="A1578" s="13" t="s">
        <v>7</v>
      </c>
      <c r="B1578" s="29">
        <v>46141</v>
      </c>
      <c r="C1578" s="20">
        <v>0.13458800000000001</v>
      </c>
      <c r="D1578" s="30">
        <f t="shared" ref="D1578" ca="1" si="511">+IF(F1578=1,D1577*(1+C1577*F1578/365),OFFSET(D1577,-F1578+1,0)*(1+C1577*F1578/365))</f>
        <v>182.14087243957067</v>
      </c>
      <c r="E1578" s="31">
        <f>+E1577*(1+C1577*F1578/365)</f>
        <v>182.14087243957067</v>
      </c>
      <c r="F1578" s="32">
        <f>IF(A1577="Working day",1,(IF(A1576="Working day",2,(IF(A1575="Working day",3,IF(A1574="Working day",4,IF(A1573="Working day",5,IF(A1572="Working day",6,7))))))))</f>
        <v>1</v>
      </c>
      <c r="G1578" s="20">
        <f t="shared" ref="G1578" ca="1" si="512">(D1578/OFFSET(D1578,-7,0)-1)*365/7</f>
        <v>0.13553727049518879</v>
      </c>
      <c r="H1578" s="20">
        <f ca="1">($D1578/OFFSET($D1578,-30,0)-1)*365/30</f>
        <v>0.13745522868359811</v>
      </c>
      <c r="I1578" s="20">
        <f ca="1">($D1578/OFFSET($D1578,-90,0)-1)*365/90</f>
        <v>0.13940217825908555</v>
      </c>
      <c r="J1578" s="20">
        <f ca="1">($D1578/OFFSET($D1578,-180,0)-1)*365/180</f>
        <v>0.14230495587914743</v>
      </c>
      <c r="K1578" s="36">
        <v>14</v>
      </c>
    </row>
    <row r="1579" spans="1:11" x14ac:dyDescent="0.25">
      <c r="A1579" s="13" t="s">
        <v>7</v>
      </c>
      <c r="B1579" s="29">
        <v>46142</v>
      </c>
      <c r="C1579" s="20">
        <v>0.13439999999999999</v>
      </c>
      <c r="D1579" s="30">
        <f t="shared" ref="D1579" ca="1" si="513">+IF(F1579=1,D1578*(1+C1578*F1579/365),OFFSET(D1578,-F1579+1,0)*(1+C1578*F1579/365))</f>
        <v>182.20803401694025</v>
      </c>
      <c r="E1579" s="31">
        <f>+E1578*(1+C1578*F1579/365)</f>
        <v>182.20803401694025</v>
      </c>
      <c r="F1579" s="32">
        <f>IF(A1578="Working day",1,(IF(A1577="Working day",2,(IF(A1576="Working day",3,IF(A1575="Working day",4,IF(A1574="Working day",5,IF(A1573="Working day",6,7))))))))</f>
        <v>1</v>
      </c>
      <c r="G1579" s="20">
        <f t="shared" ref="G1579" ca="1" si="514">(D1579/OFFSET(D1579,-7,0)-1)*365/7</f>
        <v>0.13542373242429731</v>
      </c>
      <c r="H1579" s="20">
        <f ca="1">($D1579/OFFSET($D1579,-30,0)-1)*365/30</f>
        <v>0.1373402538962383</v>
      </c>
      <c r="I1579" s="20">
        <f ca="1">($D1579/OFFSET($D1579,-90,0)-1)*365/90</f>
        <v>0.13935646482771627</v>
      </c>
      <c r="J1579" s="20">
        <f ca="1">($D1579/OFFSET($D1579,-180,0)-1)*365/180</f>
        <v>0.14228269272799793</v>
      </c>
      <c r="K1579" s="36">
        <v>14</v>
      </c>
    </row>
    <row r="1580" spans="1:11" x14ac:dyDescent="0.25">
      <c r="A1580" s="13" t="s">
        <v>7</v>
      </c>
      <c r="B1580" s="29">
        <v>46143</v>
      </c>
      <c r="C1580" s="20">
        <v>0.13438600000000001</v>
      </c>
      <c r="D1580" s="30">
        <f t="shared" ref="D1580:D1583" ca="1" si="515">+IF(F1580=1,D1579*(1+C1579*F1580/365),OFFSET(D1579,-F1580+1,0)*(1+C1579*F1580/365))</f>
        <v>182.27512650946596</v>
      </c>
      <c r="E1580" s="31">
        <f>+E1579*(1+C1579*F1580/365)</f>
        <v>182.27512650946596</v>
      </c>
      <c r="F1580" s="32">
        <f>IF(A1579="Working day",1,(IF(A1578="Working day",2,(IF(A1577="Working day",3,IF(A1576="Working day",4,IF(A1575="Working day",5,IF(A1574="Working day",6,7))))))))</f>
        <v>1</v>
      </c>
      <c r="G1580" s="20">
        <f t="shared" ref="G1580:G1583" ca="1" si="516">(D1580/OFFSET(D1580,-7,0)-1)*365/7</f>
        <v>0.13515170049084727</v>
      </c>
      <c r="H1580" s="20">
        <f ca="1">($D1580/OFFSET($D1580,-30,0)-1)*365/30</f>
        <v>0.13721803536570742</v>
      </c>
      <c r="I1580" s="20">
        <f ca="1">($D1580/OFFSET($D1580,-90,0)-1)*365/90</f>
        <v>0.13930837376752586</v>
      </c>
      <c r="J1580" s="20">
        <f ca="1">($D1580/OFFSET($D1580,-180,0)-1)*365/180</f>
        <v>0.14225962396463018</v>
      </c>
      <c r="K1580" s="36">
        <v>14</v>
      </c>
    </row>
    <row r="1581" spans="1:11" x14ac:dyDescent="0.25">
      <c r="A1581" s="23" t="s">
        <v>6</v>
      </c>
      <c r="B1581" s="24">
        <v>46144</v>
      </c>
      <c r="C1581" s="28">
        <v>0.13438600000000001</v>
      </c>
      <c r="D1581" s="25">
        <f ca="1">+IF(F1581=1,D1580*(1+C1580*F1581/365),OFFSET(D1580,-F1581+1,0)*(1+C1580*F1581/365))</f>
        <v>182.34223671535938</v>
      </c>
      <c r="E1581" s="26">
        <f>+E1580*(1+C1580*F1581/365)</f>
        <v>182.34223671535938</v>
      </c>
      <c r="F1581" s="27">
        <f t="shared" ref="F1581:F1583" si="517">IF(A1580="Working day",1,(IF(A1579="Working day",2,(IF(A1578="Working day",3,IF(A1577="Working day",4,IF(A1576="Working day",5,IF(A1575="Working day",6,7))))))))</f>
        <v>1</v>
      </c>
      <c r="G1581" s="28">
        <f t="shared" ca="1" si="516"/>
        <v>0.13495898804520307</v>
      </c>
      <c r="H1581" s="28">
        <f t="shared" ref="H1581:H1590" ca="1" si="518">($D1581/OFFSET($D1581,-30,0)-1)*365/30</f>
        <v>0.13709625609509071</v>
      </c>
      <c r="I1581" s="28">
        <f t="shared" ref="I1581:I1590" ca="1" si="519">($D1581/OFFSET($D1581,-90,0)-1)*365/90</f>
        <v>0.13926072669803269</v>
      </c>
      <c r="J1581" s="28">
        <f t="shared" ref="J1581:J1590" ca="1" si="520">($D1581/OFFSET($D1581,-180,0)-1)*365/180</f>
        <v>0.14223678347026544</v>
      </c>
      <c r="K1581" s="36">
        <v>14</v>
      </c>
    </row>
    <row r="1582" spans="1:11" x14ac:dyDescent="0.25">
      <c r="A1582" s="23" t="s">
        <v>6</v>
      </c>
      <c r="B1582" s="24">
        <v>46145</v>
      </c>
      <c r="C1582" s="28">
        <v>0.13438600000000001</v>
      </c>
      <c r="D1582" s="25">
        <f t="shared" ca="1" si="515"/>
        <v>182.40934692125282</v>
      </c>
      <c r="E1582" s="26">
        <f>+E1580*(1+C1581*F1582/365)</f>
        <v>182.40934692125282</v>
      </c>
      <c r="F1582" s="27">
        <f t="shared" si="517"/>
        <v>2</v>
      </c>
      <c r="G1582" s="28">
        <f t="shared" ca="1" si="516"/>
        <v>0.13476641882042451</v>
      </c>
      <c r="H1582" s="28">
        <f t="shared" ca="1" si="518"/>
        <v>0.13697365380773222</v>
      </c>
      <c r="I1582" s="28">
        <f t="shared" ca="1" si="519"/>
        <v>0.13921311576938236</v>
      </c>
      <c r="J1582" s="28">
        <f t="shared" ca="1" si="520"/>
        <v>0.14220351200676665</v>
      </c>
      <c r="K1582" s="36">
        <v>14</v>
      </c>
    </row>
    <row r="1583" spans="1:11" x14ac:dyDescent="0.25">
      <c r="A1583" s="13" t="s">
        <v>7</v>
      </c>
      <c r="B1583" s="29">
        <v>46146</v>
      </c>
      <c r="C1583" s="20">
        <v>0.13408999999999999</v>
      </c>
      <c r="D1583" s="30">
        <f t="shared" ca="1" si="515"/>
        <v>182.47645712714623</v>
      </c>
      <c r="E1583" s="31">
        <f>+E1580*(1+C1582*F1583/365)</f>
        <v>182.47645712714623</v>
      </c>
      <c r="F1583" s="32">
        <f t="shared" si="517"/>
        <v>3</v>
      </c>
      <c r="G1583" s="20">
        <f t="shared" ca="1" si="516"/>
        <v>0.13457399265689673</v>
      </c>
      <c r="H1583" s="20">
        <f t="shared" ca="1" si="518"/>
        <v>0.13685919277201428</v>
      </c>
      <c r="I1583" s="20">
        <f t="shared" ca="1" si="519"/>
        <v>0.13916192590671231</v>
      </c>
      <c r="J1583" s="20">
        <f t="shared" ca="1" si="520"/>
        <v>0.14216993544865777</v>
      </c>
      <c r="K1583" s="36">
        <v>14</v>
      </c>
    </row>
    <row r="1584" spans="1:11" x14ac:dyDescent="0.25">
      <c r="A1584" s="13" t="s">
        <v>7</v>
      </c>
      <c r="B1584" s="29">
        <v>46147</v>
      </c>
      <c r="C1584" s="20">
        <v>0.133851</v>
      </c>
      <c r="D1584" s="30">
        <f t="shared" ref="D1584" ca="1" si="521">+IF(F1584=1,D1583*(1+C1583*F1584/365),OFFSET(D1583,-F1584+1,0)*(1+C1583*F1584/365))</f>
        <v>182.54349347820428</v>
      </c>
      <c r="E1584" s="31">
        <f>+E1583*(1+C1583*F1584/365)</f>
        <v>182.54349347820428</v>
      </c>
      <c r="F1584" s="32">
        <f t="shared" ref="F1584" si="522">IF(A1583="Working day",1,(IF(A1582="Working day",2,(IF(A1581="Working day",3,IF(A1580="Working day",4,IF(A1579="Working day",5,IF(A1578="Working day",6,7))))))))</f>
        <v>1</v>
      </c>
      <c r="G1584" s="20">
        <f t="shared" ref="G1584" ca="1" si="523">(D1584/OFFSET(D1584,-7,0)-1)*365/7</f>
        <v>0.13453118389284344</v>
      </c>
      <c r="H1584" s="20">
        <f t="shared" ca="1" si="518"/>
        <v>0.1367398402185597</v>
      </c>
      <c r="I1584" s="20">
        <f t="shared" ca="1" si="519"/>
        <v>0.13910661116375694</v>
      </c>
      <c r="J1584" s="20">
        <f t="shared" ca="1" si="520"/>
        <v>0.1421350275390231</v>
      </c>
      <c r="K1584" s="36">
        <v>14</v>
      </c>
    </row>
    <row r="1585" spans="1:11" x14ac:dyDescent="0.25">
      <c r="A1585" s="13" t="s">
        <v>7</v>
      </c>
      <c r="B1585" s="29">
        <v>46148</v>
      </c>
      <c r="C1585" s="20">
        <v>0.13337599999999999</v>
      </c>
      <c r="D1585" s="30">
        <f t="shared" ref="D1585" ca="1" si="524">+IF(F1585=1,D1584*(1+C1584*F1585/365),OFFSET(D1584,-F1585+1,0)*(1+C1584*F1585/365))</f>
        <v>182.61043492791813</v>
      </c>
      <c r="E1585" s="31">
        <f>+E1584*(1+C1584*F1585/365)</f>
        <v>182.61043492791813</v>
      </c>
      <c r="F1585" s="32">
        <f t="shared" ref="F1585" si="525">IF(A1584="Working day",1,(IF(A1583="Working day",2,(IF(A1582="Working day",3,IF(A1581="Working day",4,IF(A1580="Working day",5,IF(A1579="Working day",6,7))))))))</f>
        <v>1</v>
      </c>
      <c r="G1585" s="20">
        <f t="shared" ref="G1585" ca="1" si="526">(D1585/OFFSET(D1585,-7,0)-1)*365/7</f>
        <v>0.1344252359264908</v>
      </c>
      <c r="H1585" s="20">
        <f t="shared" ca="1" si="518"/>
        <v>0.1366141836792624</v>
      </c>
      <c r="I1585" s="20">
        <f t="shared" ca="1" si="519"/>
        <v>0.13905011388029256</v>
      </c>
      <c r="J1585" s="20">
        <f t="shared" ca="1" si="520"/>
        <v>0.14209848595541177</v>
      </c>
      <c r="K1585" s="36">
        <v>14</v>
      </c>
    </row>
    <row r="1586" spans="1:11" x14ac:dyDescent="0.25">
      <c r="A1586" s="13" t="s">
        <v>7</v>
      </c>
      <c r="B1586" s="29">
        <v>46149</v>
      </c>
      <c r="C1586" s="20">
        <v>0.13355700000000001</v>
      </c>
      <c r="D1586" s="30">
        <f t="shared" ref="D1586" ca="1" si="527">+IF(F1586=1,D1585*(1+C1585*F1586/365),OFFSET(D1585,-F1586+1,0)*(1+C1585*F1586/365))</f>
        <v>182.6771632823536</v>
      </c>
      <c r="E1586" s="31">
        <f>+E1585*(1+C1585*F1586/365)</f>
        <v>182.6771632823536</v>
      </c>
      <c r="F1586" s="32">
        <f t="shared" ref="F1586" si="528">IF(A1585="Working day",1,(IF(A1584="Working day",2,(IF(A1583="Working day",3,IF(A1582="Working day",4,IF(A1581="Working day",5,IF(A1580="Working day",6,7))))))))</f>
        <v>1</v>
      </c>
      <c r="G1586" s="20">
        <f t="shared" ref="G1586" ca="1" si="529">(D1586/OFFSET(D1586,-7,0)-1)*365/7</f>
        <v>0.1342517106886035</v>
      </c>
      <c r="H1586" s="20">
        <f t="shared" ca="1" si="518"/>
        <v>0.13647300196704426</v>
      </c>
      <c r="I1586" s="20">
        <f t="shared" ca="1" si="519"/>
        <v>0.1389897230040299</v>
      </c>
      <c r="J1586" s="20">
        <f t="shared" ca="1" si="520"/>
        <v>0.1420591222582793</v>
      </c>
      <c r="K1586" s="36">
        <v>14</v>
      </c>
    </row>
    <row r="1587" spans="1:11" x14ac:dyDescent="0.25">
      <c r="A1587" s="13" t="s">
        <v>7</v>
      </c>
      <c r="B1587" s="29">
        <v>46150</v>
      </c>
      <c r="C1587" s="20">
        <v>0.13286700000000001</v>
      </c>
      <c r="D1587" s="30">
        <f t="shared" ref="D1587" ca="1" si="530">+IF(F1587=1,D1586*(1+C1586*F1587/365),OFFSET(D1586,-F1587+1,0)*(1+C1586*F1587/365))</f>
        <v>182.74400660809746</v>
      </c>
      <c r="E1587" s="31">
        <f>+E1586*(1+C1586*F1587/365)</f>
        <v>182.74400660809746</v>
      </c>
      <c r="F1587" s="32">
        <f t="shared" ref="F1587:F1590" si="531">IF(A1586="Working day",1,(IF(A1585="Working day",2,(IF(A1584="Working day",3,IF(A1583="Working day",4,IF(A1582="Working day",5,IF(A1581="Working day",6,7))))))))</f>
        <v>1</v>
      </c>
      <c r="G1587" s="20">
        <f t="shared" ref="G1587:G1590" ca="1" si="532">(D1587/OFFSET(D1587,-7,0)-1)*365/7</f>
        <v>0.13413101649281603</v>
      </c>
      <c r="H1587" s="20">
        <f t="shared" ca="1" si="518"/>
        <v>0.13639068587055217</v>
      </c>
      <c r="I1587" s="20">
        <f t="shared" ca="1" si="519"/>
        <v>0.13893450235032243</v>
      </c>
      <c r="J1587" s="20">
        <f t="shared" ca="1" si="520"/>
        <v>0.1420211538390698</v>
      </c>
      <c r="K1587" s="36">
        <v>14</v>
      </c>
    </row>
    <row r="1588" spans="1:11" x14ac:dyDescent="0.25">
      <c r="A1588" s="23" t="s">
        <v>6</v>
      </c>
      <c r="B1588" s="24">
        <v>46151</v>
      </c>
      <c r="C1588" s="28">
        <v>0.13286700000000001</v>
      </c>
      <c r="D1588" s="25">
        <f ca="1">+IF(F1588=1,D1587*(1+C1587*F1588/365),OFFSET(D1587,-F1588+1,0)*(1+C1587*F1588/365))</f>
        <v>182.8105289311824</v>
      </c>
      <c r="E1588" s="26">
        <f>+E1587*(1+C1587*F1588/365)</f>
        <v>182.8105289311824</v>
      </c>
      <c r="F1588" s="27">
        <f t="shared" si="531"/>
        <v>1</v>
      </c>
      <c r="G1588" s="28">
        <f t="shared" ca="1" si="532"/>
        <v>0.13391353835858433</v>
      </c>
      <c r="H1588" s="28">
        <f t="shared" ca="1" si="518"/>
        <v>0.13628582873051973</v>
      </c>
      <c r="I1588" s="28">
        <f t="shared" ca="1" si="519"/>
        <v>0.13887195840599426</v>
      </c>
      <c r="J1588" s="28">
        <f t="shared" ca="1" si="520"/>
        <v>0.14197940456913216</v>
      </c>
      <c r="K1588" s="36">
        <v>14</v>
      </c>
    </row>
    <row r="1589" spans="1:11" x14ac:dyDescent="0.25">
      <c r="A1589" s="23" t="s">
        <v>6</v>
      </c>
      <c r="B1589" s="24">
        <v>46152</v>
      </c>
      <c r="C1589" s="28">
        <v>0.13286700000000001</v>
      </c>
      <c r="D1589" s="25">
        <f t="shared" ref="D1589:D1590" ca="1" si="533">+IF(F1589=1,D1588*(1+C1588*F1589/365),OFFSET(D1588,-F1589+1,0)*(1+C1588*F1589/365))</f>
        <v>182.87705125426731</v>
      </c>
      <c r="E1589" s="26">
        <f>+E1587*(1+C1588*F1589/365)</f>
        <v>182.87705125426731</v>
      </c>
      <c r="F1589" s="27">
        <f t="shared" si="531"/>
        <v>2</v>
      </c>
      <c r="G1589" s="28">
        <f t="shared" ca="1" si="532"/>
        <v>0.13369622024905309</v>
      </c>
      <c r="H1589" s="28">
        <f t="shared" ca="1" si="518"/>
        <v>0.13615835217226499</v>
      </c>
      <c r="I1589" s="28">
        <f t="shared" ca="1" si="519"/>
        <v>0.13880946182605092</v>
      </c>
      <c r="J1589" s="28">
        <f t="shared" ca="1" si="520"/>
        <v>0.14193673112178135</v>
      </c>
      <c r="K1589" s="36">
        <v>14</v>
      </c>
    </row>
    <row r="1590" spans="1:11" x14ac:dyDescent="0.25">
      <c r="A1590" s="23" t="s">
        <v>6</v>
      </c>
      <c r="B1590" s="24">
        <v>46153</v>
      </c>
      <c r="C1590" s="28">
        <v>0.13286700000000001</v>
      </c>
      <c r="D1590" s="25">
        <f t="shared" ca="1" si="533"/>
        <v>182.94357357735225</v>
      </c>
      <c r="E1590" s="26">
        <f>+E1587*(1+C1589*F1590/365)</f>
        <v>182.94357357735225</v>
      </c>
      <c r="F1590" s="27">
        <f t="shared" si="531"/>
        <v>3</v>
      </c>
      <c r="G1590" s="28">
        <f t="shared" ca="1" si="532"/>
        <v>0.13347906198770354</v>
      </c>
      <c r="H1590" s="28">
        <f t="shared" ca="1" si="518"/>
        <v>0.136019242142462</v>
      </c>
      <c r="I1590" s="28">
        <f t="shared" ca="1" si="519"/>
        <v>0.13875219115077153</v>
      </c>
      <c r="J1590" s="28">
        <f t="shared" ca="1" si="520"/>
        <v>0.14189456766058381</v>
      </c>
      <c r="K1590" s="36">
        <v>14</v>
      </c>
    </row>
    <row r="1591" spans="1:11" x14ac:dyDescent="0.25">
      <c r="A1591" s="13" t="s">
        <v>7</v>
      </c>
      <c r="B1591" s="29">
        <v>46154</v>
      </c>
      <c r="C1591" s="20">
        <v>0.13253899999999999</v>
      </c>
      <c r="D1591" s="30">
        <f ca="1">+IF(F1591=1,D1590*(1+C1590*F1591/365),OFFSET(D1590,-F1591+1,0)*(1+C1590*F1591/365))</f>
        <v>183.01009590043719</v>
      </c>
      <c r="E1591" s="31">
        <f>+E1587*(1+C1590*F1591/365)</f>
        <v>183.01009590043719</v>
      </c>
      <c r="F1591" s="32">
        <f>IF(A1590="Working day",1,(IF(A1589="Working day",2,(IF(A1588="Working day",3,IF(A1587="Working day",4,IF(A1586="Working day",5,IF(A1585="Working day",6,7))))))))</f>
        <v>4</v>
      </c>
      <c r="G1591" s="20">
        <f ca="1">(D1591/OFFSET(D1591,-7,0)-1)*365/7</f>
        <v>0.13328321366824095</v>
      </c>
      <c r="H1591" s="20">
        <f ca="1">($D1591/OFFSET($D1591,-30,0)-1)*365/30</f>
        <v>0.13588023638526125</v>
      </c>
      <c r="I1591" s="20">
        <f ca="1">($D1591/OFFSET($D1591,-90,0)-1)*365/90</f>
        <v>0.13869396465283146</v>
      </c>
      <c r="J1591" s="20">
        <f ca="1">($D1591/OFFSET($D1591,-180,0)-1)*365/180</f>
        <v>0.14185148830526137</v>
      </c>
      <c r="K1591" s="36">
        <v>14</v>
      </c>
    </row>
    <row r="1592" spans="1:11" x14ac:dyDescent="0.25">
      <c r="A1592" s="13" t="s">
        <v>7</v>
      </c>
      <c r="B1592" s="29">
        <v>46155</v>
      </c>
      <c r="C1592" s="20">
        <v>0.13200000000000001</v>
      </c>
      <c r="D1592" s="30">
        <f ca="1">+IF(F1592=1,D1591*(1+C1591*F1592/365),OFFSET(D1591,-F1592+1,0)*(1+C1591*F1592/365))</f>
        <v>183.07655062674007</v>
      </c>
      <c r="E1592" s="31">
        <f>+E1591*(1+C1591*F1592/365)</f>
        <v>183.07655062674007</v>
      </c>
      <c r="F1592" s="32">
        <f>IF(A1591="Working day",1,(IF(A1590="Working day",2,(IF(A1589="Working day",3,IF(A1588="Working day",4,IF(A1587="Working day",5,IF(A1586="Working day",6,7))))))))</f>
        <v>1</v>
      </c>
      <c r="G1592" s="20">
        <f ca="1">(D1592/OFFSET(D1592,-7,0)-1)*365/7</f>
        <v>0.13309537489086062</v>
      </c>
      <c r="H1592" s="20">
        <f ca="1">($D1592/OFFSET($D1592,-30,0)-1)*365/30</f>
        <v>0.13573679240551695</v>
      </c>
      <c r="I1592" s="20">
        <f ca="1">($D1592/OFFSET($D1592,-90,0)-1)*365/90</f>
        <v>0.13863448620674187</v>
      </c>
      <c r="J1592" s="20">
        <f ca="1">($D1592/OFFSET($D1592,-180,0)-1)*365/180</f>
        <v>0.14180715570966998</v>
      </c>
      <c r="K1592" s="36">
        <v>14</v>
      </c>
    </row>
    <row r="1593" spans="1:11" x14ac:dyDescent="0.25">
      <c r="A1593" s="13" t="s">
        <v>7</v>
      </c>
      <c r="B1593" s="29">
        <v>46156</v>
      </c>
      <c r="C1593" s="20">
        <v>0.13165099999999999</v>
      </c>
      <c r="D1593" s="30">
        <f ca="1">+IF(F1593=1,D1592*(1+C1592*F1593/365),OFFSET(D1592,-F1593+1,0)*(1+C1592*F1593/365))</f>
        <v>183.14275913272016</v>
      </c>
      <c r="E1593" s="31">
        <f>+E1592*(1+C1592*F1593/365)</f>
        <v>183.14275913272016</v>
      </c>
      <c r="F1593" s="32">
        <f>IF(A1592="Working day",1,(IF(A1591="Working day",2,(IF(A1590="Working day",3,IF(A1589="Working day",4,IF(A1588="Working day",5,IF(A1587="Working day",6,7))))))))</f>
        <v>1</v>
      </c>
      <c r="G1593" s="20">
        <f ca="1">(D1593/OFFSET(D1593,-7,0)-1)*365/7</f>
        <v>0.13289837369789503</v>
      </c>
      <c r="H1593" s="20">
        <f ca="1">($D1593/OFFSET($D1593,-30,0)-1)*365/30</f>
        <v>0.13556832956199702</v>
      </c>
      <c r="I1593" s="20">
        <f ca="1">($D1593/OFFSET($D1593,-90,0)-1)*365/90</f>
        <v>0.1385667382873893</v>
      </c>
      <c r="J1593" s="20">
        <f ca="1">($D1593/OFFSET($D1593,-180,0)-1)*365/180</f>
        <v>0.14175962139552187</v>
      </c>
      <c r="K1593" s="36">
        <v>14</v>
      </c>
    </row>
    <row r="1594" spans="1:11" x14ac:dyDescent="0.25">
      <c r="A1594" s="13" t="s">
        <v>7</v>
      </c>
      <c r="B1594" s="29">
        <v>46157</v>
      </c>
      <c r="C1594" s="20">
        <v>0.131721</v>
      </c>
      <c r="D1594" s="30">
        <f ca="1">+IF(F1594=1,D1593*(1+C1593*F1594/365),OFFSET(D1593,-F1594+1,0)*(1+C1593*F1594/365))</f>
        <v>183.20881646801493</v>
      </c>
      <c r="E1594" s="31">
        <f>+E1593*(1+C1593*F1594/365)</f>
        <v>183.20881646801493</v>
      </c>
      <c r="F1594" s="32">
        <f>IF(A1593="Working day",1,(IF(A1592="Working day",2,(IF(A1591="Working day",3,IF(A1590="Working day",4,IF(A1589="Working day",5,IF(A1588="Working day",6,7))))))))</f>
        <v>1</v>
      </c>
      <c r="G1594" s="20">
        <f ca="1">(D1594/OFFSET(D1594,-7,0)-1)*365/7</f>
        <v>0.1326254938485876</v>
      </c>
      <c r="H1594" s="20">
        <f ca="1">($D1594/OFFSET($D1594,-30,0)-1)*365/30</f>
        <v>0.13538811047985971</v>
      </c>
      <c r="I1594" s="20">
        <f ca="1">($D1594/OFFSET($D1594,-90,0)-1)*365/90</f>
        <v>0.13851568095890168</v>
      </c>
      <c r="J1594" s="20">
        <f ca="1">($D1594/OFFSET($D1594,-180,0)-1)*365/180</f>
        <v>0.1417103334131779</v>
      </c>
      <c r="K1594" s="36">
        <v>14</v>
      </c>
    </row>
    <row r="1595" spans="1:11" x14ac:dyDescent="0.25">
      <c r="A1595" s="23" t="s">
        <v>6</v>
      </c>
      <c r="B1595" s="24">
        <v>46158</v>
      </c>
      <c r="C1595" s="28">
        <v>0.131721</v>
      </c>
      <c r="D1595" s="25">
        <f ca="1">+IF(F1595=1,D1594*(1+C1594*F1595/365),OFFSET(D1594,-F1595+1,0)*(1+C1594*F1595/365))</f>
        <v>183.27493276531354</v>
      </c>
      <c r="E1595" s="26">
        <f>+E1594*(1+C1594*F1595/365)</f>
        <v>183.27493276531354</v>
      </c>
      <c r="F1595" s="27">
        <f t="shared" ref="F1595:F1596" si="534">IF(A1594="Working day",1,(IF(A1593="Working day",2,(IF(A1592="Working day",3,IF(A1591="Working day",4,IF(A1590="Working day",5,IF(A1589="Working day",6,7))))))))</f>
        <v>1</v>
      </c>
      <c r="G1595" s="28">
        <f t="shared" ref="G1595:G1596" ca="1" si="535">(D1595/OFFSET(D1595,-7,0)-1)*365/7</f>
        <v>0.13246142288013701</v>
      </c>
      <c r="H1595" s="28">
        <f t="shared" ref="H1595:H1620" ca="1" si="536">($D1595/OFFSET($D1595,-30,0)-1)*365/30</f>
        <v>0.13521025245076909</v>
      </c>
      <c r="I1595" s="28">
        <f t="shared" ref="I1595:I1620" ca="1" si="537">($D1595/OFFSET($D1595,-90,0)-1)*365/90</f>
        <v>0.13846601095008715</v>
      </c>
      <c r="J1595" s="28">
        <f t="shared" ref="J1595:J1620" ca="1" si="538">($D1595/OFFSET($D1595,-180,0)-1)*365/180</f>
        <v>0.14166178113513689</v>
      </c>
      <c r="K1595" s="36">
        <v>14</v>
      </c>
    </row>
    <row r="1596" spans="1:11" x14ac:dyDescent="0.25">
      <c r="A1596" s="23" t="s">
        <v>6</v>
      </c>
      <c r="B1596" s="24">
        <v>46159</v>
      </c>
      <c r="C1596" s="28">
        <v>0.131721</v>
      </c>
      <c r="D1596" s="25">
        <f t="shared" ref="D1596" ca="1" si="539">+IF(F1596=1,D1595*(1+C1595*F1596/365),OFFSET(D1595,-F1596+1,0)*(1+C1595*F1596/365))</f>
        <v>183.34104906261209</v>
      </c>
      <c r="E1596" s="26">
        <f>+E1594*(1+C1595*F1596/365)</f>
        <v>183.34104906261209</v>
      </c>
      <c r="F1596" s="27">
        <f t="shared" si="534"/>
        <v>2</v>
      </c>
      <c r="G1596" s="28">
        <f t="shared" ca="1" si="535"/>
        <v>0.1322974712747384</v>
      </c>
      <c r="H1596" s="28">
        <f t="shared" ca="1" si="536"/>
        <v>0.13503251427219448</v>
      </c>
      <c r="I1596" s="28">
        <f t="shared" ca="1" si="537"/>
        <v>0.13841637794037209</v>
      </c>
      <c r="J1596" s="28">
        <f t="shared" ca="1" si="538"/>
        <v>0.14161231003339919</v>
      </c>
      <c r="K1596" s="36">
        <v>14</v>
      </c>
    </row>
    <row r="1597" spans="1:11" x14ac:dyDescent="0.25">
      <c r="A1597" s="13" t="s">
        <v>7</v>
      </c>
      <c r="B1597" s="29">
        <v>46160</v>
      </c>
      <c r="C1597" s="20">
        <v>0.131184</v>
      </c>
      <c r="D1597" s="30">
        <f ca="1">+IF(F1597=1,D1596*(1+C1596*F1597/365),OFFSET(D1596,-F1597+1,0)*(1+C1596*F1597/365))</f>
        <v>183.40716535991069</v>
      </c>
      <c r="E1597" s="31">
        <f>+E1594*(1+C1596*F1597/365)</f>
        <v>183.40716535991069</v>
      </c>
      <c r="F1597" s="32">
        <f>IF(A1596="Working day",1,(IF(A1595="Working day",2,(IF(A1594="Working day",3,IF(A1593="Working day",4,IF(A1592="Working day",5,IF(A1591="Working day",6,7))))))))</f>
        <v>3</v>
      </c>
      <c r="G1597" s="20">
        <f ca="1">(D1597/OFFSET(D1597,-7,0)-1)*365/7</f>
        <v>0.1321336389021967</v>
      </c>
      <c r="H1597" s="20">
        <f t="shared" ca="1" si="536"/>
        <v>0.13485146069804813</v>
      </c>
      <c r="I1597" s="20">
        <f t="shared" ca="1" si="537"/>
        <v>0.13837344296882376</v>
      </c>
      <c r="J1597" s="20">
        <f t="shared" ca="1" si="538"/>
        <v>0.14156255794530775</v>
      </c>
      <c r="K1597" s="36">
        <v>14</v>
      </c>
    </row>
    <row r="1598" spans="1:11" x14ac:dyDescent="0.25">
      <c r="A1598" s="13" t="s">
        <v>7</v>
      </c>
      <c r="B1598" s="29">
        <v>46161</v>
      </c>
      <c r="C1598" s="20">
        <v>0.131185</v>
      </c>
      <c r="D1598" s="30">
        <f t="shared" ref="D1598" ca="1" si="540">+IF(F1598=1,D1597*(1+C1597*F1598/365),OFFSET(D1597,-F1598+1,0)*(1+C1597*F1598/365))</f>
        <v>183.47308340259718</v>
      </c>
      <c r="E1598" s="31">
        <f>+E1597*(1+C1597*F1598/365)</f>
        <v>183.47308340259718</v>
      </c>
      <c r="F1598" s="32">
        <f t="shared" ref="F1598" si="541">IF(A1597="Working day",1,(IF(A1596="Working day",2,(IF(A1595="Working day",3,IF(A1594="Working day",4,IF(A1593="Working day",5,IF(A1592="Working day",6,7))))))))</f>
        <v>1</v>
      </c>
      <c r="G1598" s="20">
        <f t="shared" ref="G1598" ca="1" si="542">(D1598/OFFSET(D1598,-7,0)-1)*365/7</f>
        <v>0.13191343933937807</v>
      </c>
      <c r="H1598" s="20">
        <f t="shared" ca="1" si="536"/>
        <v>0.1346572505547341</v>
      </c>
      <c r="I1598" s="20">
        <f t="shared" ca="1" si="537"/>
        <v>0.13832121637597786</v>
      </c>
      <c r="J1598" s="20">
        <f t="shared" ca="1" si="538"/>
        <v>0.14151018103672497</v>
      </c>
      <c r="K1598" s="36">
        <v>14</v>
      </c>
    </row>
    <row r="1599" spans="1:11" x14ac:dyDescent="0.25">
      <c r="A1599" s="13" t="s">
        <v>7</v>
      </c>
      <c r="B1599" s="29">
        <v>46162</v>
      </c>
      <c r="C1599" s="20">
        <v>0.13067999999999999</v>
      </c>
      <c r="D1599" s="30">
        <f t="shared" ref="D1599" ca="1" si="543">+IF(F1599=1,D1598*(1+C1598*F1599/365),OFFSET(D1598,-F1599+1,0)*(1+C1598*F1599/365))</f>
        <v>183.53902563943598</v>
      </c>
      <c r="E1599" s="31">
        <f>+E1598*(1+C1598*F1599/365)</f>
        <v>183.53902563943598</v>
      </c>
      <c r="F1599" s="32">
        <f t="shared" ref="F1599" si="544">IF(A1598="Working day",1,(IF(A1597="Working day",2,(IF(A1596="Working day",3,IF(A1595="Working day",4,IF(A1594="Working day",5,IF(A1593="Working day",6,7))))))))</f>
        <v>1</v>
      </c>
      <c r="G1599" s="20">
        <f t="shared" ref="G1599" ca="1" si="545">(D1599/OFFSET(D1599,-7,0)-1)*365/7</f>
        <v>0.13171959181331658</v>
      </c>
      <c r="H1599" s="20">
        <f t="shared" ca="1" si="536"/>
        <v>0.1344648075757672</v>
      </c>
      <c r="I1599" s="20">
        <f t="shared" ca="1" si="537"/>
        <v>0.1382749055564324</v>
      </c>
      <c r="J1599" s="20">
        <f t="shared" ca="1" si="538"/>
        <v>0.14145842918047397</v>
      </c>
      <c r="K1599" s="36">
        <v>14</v>
      </c>
    </row>
    <row r="1600" spans="1:11" x14ac:dyDescent="0.25">
      <c r="A1600" s="13" t="s">
        <v>7</v>
      </c>
      <c r="B1600" s="29">
        <v>46163</v>
      </c>
      <c r="C1600" s="20">
        <v>0.12947900000000001</v>
      </c>
      <c r="D1600" s="30">
        <f ca="1">+IF(F1600=1,D1599*(1+C1599*F1600/365),OFFSET(D1599,-F1600+1,0)*(1+C1599*F1600/365))</f>
        <v>183.60473763908135</v>
      </c>
      <c r="E1600" s="31">
        <f>+E1599*(1+C1599*F1600/365)</f>
        <v>183.60473763908135</v>
      </c>
      <c r="F1600" s="32">
        <f t="shared" ref="F1600" si="546">IF(A1599="Working day",1,(IF(A1598="Working day",2,(IF(A1597="Working day",3,IF(A1596="Working day",4,IF(A1595="Working day",5,IF(A1594="Working day",6,7))))))))</f>
        <v>1</v>
      </c>
      <c r="G1600" s="20">
        <f t="shared" ref="G1600" ca="1" si="547">(D1600/OFFSET(D1600,-7,0)-1)*365/7</f>
        <v>0.13153061237220598</v>
      </c>
      <c r="H1600" s="20">
        <f t="shared" ca="1" si="536"/>
        <v>0.13425873132750565</v>
      </c>
      <c r="I1600" s="20">
        <f t="shared" ca="1" si="537"/>
        <v>0.13822093431598176</v>
      </c>
      <c r="J1600" s="20">
        <f t="shared" ca="1" si="538"/>
        <v>0.14140306060554689</v>
      </c>
      <c r="K1600" s="36">
        <v>14</v>
      </c>
    </row>
    <row r="1601" spans="1:11" x14ac:dyDescent="0.25">
      <c r="A1601" s="13" t="s">
        <v>7</v>
      </c>
      <c r="B1601" s="29">
        <v>46164</v>
      </c>
      <c r="C1601" s="20">
        <v>0.127105</v>
      </c>
      <c r="D1601" s="30">
        <f ca="1">+IF(F1601=1,D1600*(1+C1600*F1601/365),OFFSET(D1600,-F1601+1,0)*(1+C1600*F1601/365))</f>
        <v>183.66986903038207</v>
      </c>
      <c r="E1601" s="31">
        <f>+E1600*(1+C1600*F1601/365)</f>
        <v>183.66986903038207</v>
      </c>
      <c r="F1601" s="32">
        <f t="shared" ref="F1601" si="548">IF(A1600="Working day",1,(IF(A1599="Working day",2,(IF(A1598="Working day",3,IF(A1597="Working day",4,IF(A1596="Working day",5,IF(A1595="Working day",6,7))))))))</f>
        <v>1</v>
      </c>
      <c r="G1601" s="20">
        <f t="shared" ref="G1601" ca="1" si="549">(D1601/OFFSET(D1601,-7,0)-1)*365/7</f>
        <v>0.13121965611876205</v>
      </c>
      <c r="H1601" s="20">
        <f t="shared" ca="1" si="536"/>
        <v>0.13402493262154247</v>
      </c>
      <c r="I1601" s="20">
        <f t="shared" ca="1" si="537"/>
        <v>0.13815629365658627</v>
      </c>
      <c r="J1601" s="20">
        <f t="shared" ca="1" si="538"/>
        <v>0.141340877559154</v>
      </c>
      <c r="K1601" s="36">
        <v>14</v>
      </c>
    </row>
    <row r="1602" spans="1:11" x14ac:dyDescent="0.25">
      <c r="A1602" s="23" t="s">
        <v>6</v>
      </c>
      <c r="B1602" s="24">
        <v>46165</v>
      </c>
      <c r="C1602" s="28">
        <v>0.127105</v>
      </c>
      <c r="D1602" s="25">
        <f t="shared" ref="D1602:D1604" ca="1" si="550">+IF(F1602=1,D1601*(1+C1601*F1602/365),OFFSET(D1601,-F1602+1,0)*(1+C1601*F1602/365))</f>
        <v>183.73382891723992</v>
      </c>
      <c r="E1602" s="26">
        <f t="shared" ref="E1602" si="551">+E1601*(1+C1601*F1602/365)</f>
        <v>183.73382891723992</v>
      </c>
      <c r="F1602" s="27">
        <f t="shared" ref="F1602:F1604" si="552">IF(A1601="Working day",1,(IF(A1600="Working day",2,(IF(A1599="Working day",3,IF(A1598="Working day",4,IF(A1597="Working day",5,IF(A1596="Working day",6,7))))))))</f>
        <v>1</v>
      </c>
      <c r="G1602" s="28">
        <f t="shared" ref="G1602:G1604" ca="1" si="553">(D1602/OFFSET(D1602,-7,0)-1)*365/7</f>
        <v>0.13055880655509841</v>
      </c>
      <c r="H1602" s="28">
        <f t="shared" ca="1" si="536"/>
        <v>0.13374613048684536</v>
      </c>
      <c r="I1602" s="28">
        <f t="shared" ca="1" si="537"/>
        <v>0.1380649618910853</v>
      </c>
      <c r="J1602" s="28">
        <f t="shared" ca="1" si="538"/>
        <v>0.14126491213662579</v>
      </c>
      <c r="K1602" s="36">
        <v>14</v>
      </c>
    </row>
    <row r="1603" spans="1:11" x14ac:dyDescent="0.25">
      <c r="A1603" s="23" t="s">
        <v>6</v>
      </c>
      <c r="B1603" s="24">
        <v>46166</v>
      </c>
      <c r="C1603" s="28">
        <v>0.127105</v>
      </c>
      <c r="D1603" s="25">
        <f t="shared" ca="1" si="550"/>
        <v>183.79778880409773</v>
      </c>
      <c r="E1603" s="26">
        <f>+E1601*(1+C1602*F1603/365)</f>
        <v>183.79778880409773</v>
      </c>
      <c r="F1603" s="27">
        <f t="shared" si="552"/>
        <v>2</v>
      </c>
      <c r="G1603" s="28">
        <f t="shared" ca="1" si="553"/>
        <v>0.12989843362147449</v>
      </c>
      <c r="H1603" s="28">
        <f t="shared" ca="1" si="536"/>
        <v>0.13343488630560477</v>
      </c>
      <c r="I1603" s="28">
        <f t="shared" ca="1" si="537"/>
        <v>0.13797369766461545</v>
      </c>
      <c r="J1603" s="28">
        <f t="shared" ca="1" si="538"/>
        <v>0.14118977764306809</v>
      </c>
      <c r="K1603" s="36">
        <v>14</v>
      </c>
    </row>
    <row r="1604" spans="1:11" x14ac:dyDescent="0.25">
      <c r="A1604" s="13" t="s">
        <v>7</v>
      </c>
      <c r="B1604" s="29">
        <v>46167</v>
      </c>
      <c r="C1604" s="20">
        <v>0.12428699999999999</v>
      </c>
      <c r="D1604" s="30">
        <f t="shared" ca="1" si="550"/>
        <v>183.86174869095555</v>
      </c>
      <c r="E1604" s="30">
        <f>+E1601*(1+C1603*F1604/365)</f>
        <v>183.86174869095555</v>
      </c>
      <c r="F1604" s="32">
        <f t="shared" si="552"/>
        <v>3</v>
      </c>
      <c r="G1604" s="20">
        <f t="shared" ca="1" si="553"/>
        <v>0.12923853680242434</v>
      </c>
      <c r="H1604" s="20">
        <f t="shared" ca="1" si="536"/>
        <v>0.13314129390555351</v>
      </c>
      <c r="I1604" s="20">
        <f t="shared" ca="1" si="537"/>
        <v>0.13787778226973299</v>
      </c>
      <c r="J1604" s="20">
        <f t="shared" ca="1" si="538"/>
        <v>0.14111769163242407</v>
      </c>
      <c r="K1604" s="36">
        <v>14</v>
      </c>
    </row>
    <row r="1605" spans="1:11" x14ac:dyDescent="0.25">
      <c r="A1605" s="13" t="s">
        <v>7</v>
      </c>
      <c r="B1605" s="29">
        <v>46168</v>
      </c>
      <c r="C1605" s="20">
        <v>0.127527</v>
      </c>
      <c r="D1605" s="30">
        <f t="shared" ref="D1605" ca="1" si="554">+IF(F1605=1,D1604*(1+C1604*F1605/365),OFFSET(D1604,-F1605+1,0)*(1+C1604*F1605/365))</f>
        <v>183.92435588317352</v>
      </c>
      <c r="E1605" s="30">
        <f>+E1604*(1+C1604*F1605/365)</f>
        <v>183.92435588317352</v>
      </c>
      <c r="F1605" s="32">
        <f t="shared" ref="F1605" si="555">IF(A1604="Working day",1,(IF(A1603="Working day",2,(IF(A1602="Working day",3,IF(A1601="Working day",4,IF(A1600="Working day",5,IF(A1599="Working day",6,7))))))))</f>
        <v>1</v>
      </c>
      <c r="G1605" s="20">
        <f t="shared" ref="G1605:G1611" ca="1" si="556">(D1605/OFFSET(D1605,-7,0)-1)*365/7</f>
        <v>0.12825116388087301</v>
      </c>
      <c r="H1605" s="20">
        <f t="shared" ca="1" si="536"/>
        <v>0.13275746204830718</v>
      </c>
      <c r="I1605" s="20">
        <f t="shared" ca="1" si="537"/>
        <v>0.13772941348013557</v>
      </c>
      <c r="J1605" s="20">
        <f t="shared" ca="1" si="538"/>
        <v>0.14103197261941311</v>
      </c>
      <c r="K1605" s="36">
        <v>14</v>
      </c>
    </row>
    <row r="1606" spans="1:11" x14ac:dyDescent="0.25">
      <c r="A1606" s="23" t="s">
        <v>6</v>
      </c>
      <c r="B1606" s="24">
        <v>46169</v>
      </c>
      <c r="C1606" s="28">
        <v>0.127527</v>
      </c>
      <c r="D1606" s="25">
        <f t="shared" ref="D1606:D1610" ca="1" si="557">+IF(F1606=1,D1605*(1+C1605*F1606/365),OFFSET(D1605,-F1606+1,0)*(1+C1605*F1606/365))</f>
        <v>183.98861703750973</v>
      </c>
      <c r="E1606" s="26">
        <f t="shared" ref="E1606" si="558">+E1605*(1+C1605*F1606/365)</f>
        <v>183.98861703750973</v>
      </c>
      <c r="F1606" s="27">
        <f t="shared" ref="F1606:F1611" si="559">IF(A1605="Working day",1,(IF(A1604="Working day",2,(IF(A1603="Working day",3,IF(A1602="Working day",4,IF(A1601="Working day",5,IF(A1600="Working day",6,7))))))))</f>
        <v>1</v>
      </c>
      <c r="G1606" s="28">
        <f t="shared" ca="1" si="556"/>
        <v>0.12772749534188896</v>
      </c>
      <c r="H1606" s="28">
        <f t="shared" ca="1" si="536"/>
        <v>0.13248447832449872</v>
      </c>
      <c r="I1606" s="28">
        <f t="shared" ca="1" si="537"/>
        <v>0.13761069070672602</v>
      </c>
      <c r="J1606" s="28">
        <f t="shared" ca="1" si="538"/>
        <v>0.14096206855202834</v>
      </c>
      <c r="K1606" s="36">
        <v>14</v>
      </c>
    </row>
    <row r="1607" spans="1:11" x14ac:dyDescent="0.25">
      <c r="A1607" s="23" t="s">
        <v>6</v>
      </c>
      <c r="B1607" s="24">
        <v>46170</v>
      </c>
      <c r="C1607" s="28">
        <v>0.127527</v>
      </c>
      <c r="D1607" s="25">
        <f t="shared" ca="1" si="557"/>
        <v>184.05287819184593</v>
      </c>
      <c r="E1607" s="26">
        <f>+E1605*(1+$C$1606*F1607/365)</f>
        <v>184.05287819184593</v>
      </c>
      <c r="F1607" s="27">
        <f t="shared" si="559"/>
        <v>2</v>
      </c>
      <c r="G1607" s="28">
        <f t="shared" ca="1" si="556"/>
        <v>0.12726974871780475</v>
      </c>
      <c r="H1607" s="28">
        <f t="shared" ca="1" si="536"/>
        <v>0.13225183907196958</v>
      </c>
      <c r="I1607" s="28">
        <f t="shared" ca="1" si="537"/>
        <v>0.13748776212381539</v>
      </c>
      <c r="J1607" s="28">
        <f t="shared" ca="1" si="538"/>
        <v>0.14089170619056454</v>
      </c>
      <c r="K1607" s="36">
        <v>14</v>
      </c>
    </row>
    <row r="1608" spans="1:11" x14ac:dyDescent="0.25">
      <c r="A1608" s="23" t="s">
        <v>6</v>
      </c>
      <c r="B1608" s="24">
        <v>46171</v>
      </c>
      <c r="C1608" s="28">
        <v>0.127527</v>
      </c>
      <c r="D1608" s="25">
        <f t="shared" ca="1" si="557"/>
        <v>184.11713934618211</v>
      </c>
      <c r="E1608" s="26">
        <f>+E1605*(1+$C$1607*F1608/365)</f>
        <v>184.11713934618211</v>
      </c>
      <c r="F1608" s="27">
        <f t="shared" si="559"/>
        <v>3</v>
      </c>
      <c r="G1608" s="28">
        <f t="shared" ca="1" si="556"/>
        <v>0.12697756199273444</v>
      </c>
      <c r="H1608" s="28">
        <f t="shared" ca="1" si="536"/>
        <v>0.13201090109570568</v>
      </c>
      <c r="I1608" s="28">
        <f t="shared" ca="1" si="537"/>
        <v>0.13736935562389735</v>
      </c>
      <c r="J1608" s="28">
        <f t="shared" ca="1" si="538"/>
        <v>0.1408213975060251</v>
      </c>
      <c r="K1608" s="36">
        <v>14</v>
      </c>
    </row>
    <row r="1609" spans="1:11" x14ac:dyDescent="0.25">
      <c r="A1609" s="23" t="s">
        <v>6</v>
      </c>
      <c r="B1609" s="24">
        <v>46172</v>
      </c>
      <c r="C1609" s="28">
        <v>0.127527</v>
      </c>
      <c r="D1609" s="25">
        <f t="shared" ca="1" si="557"/>
        <v>184.18140050051832</v>
      </c>
      <c r="E1609" s="26">
        <f>+E1605*(1+$C$1606*F1609/365)</f>
        <v>184.18140050051832</v>
      </c>
      <c r="F1609" s="27">
        <f t="shared" si="559"/>
        <v>4</v>
      </c>
      <c r="G1609" s="28">
        <f t="shared" ca="1" si="556"/>
        <v>0.12701885801662174</v>
      </c>
      <c r="H1609" s="28">
        <f t="shared" ca="1" si="536"/>
        <v>0.13176857072413284</v>
      </c>
      <c r="I1609" s="28">
        <f t="shared" ca="1" si="537"/>
        <v>0.13725103842850242</v>
      </c>
      <c r="J1609" s="28">
        <f t="shared" ca="1" si="538"/>
        <v>0.14075114243701153</v>
      </c>
      <c r="K1609" s="36">
        <v>14</v>
      </c>
    </row>
    <row r="1610" spans="1:11" x14ac:dyDescent="0.25">
      <c r="A1610" s="23" t="s">
        <v>6</v>
      </c>
      <c r="B1610" s="24">
        <v>46173</v>
      </c>
      <c r="C1610" s="28">
        <v>0.127527</v>
      </c>
      <c r="D1610" s="25">
        <f t="shared" ca="1" si="557"/>
        <v>184.24566165485453</v>
      </c>
      <c r="E1610" s="26">
        <f>+E1605*(1+$C$1606*F1610/365)</f>
        <v>184.24566165485453</v>
      </c>
      <c r="F1610" s="27">
        <f t="shared" si="559"/>
        <v>5</v>
      </c>
      <c r="G1610" s="28">
        <f t="shared" ca="1" si="556"/>
        <v>0.1270601252992633</v>
      </c>
      <c r="H1610" s="28">
        <f t="shared" ca="1" si="536"/>
        <v>0.13153108012051731</v>
      </c>
      <c r="I1610" s="28">
        <f t="shared" ca="1" si="537"/>
        <v>0.13713281043663522</v>
      </c>
      <c r="J1610" s="28">
        <f t="shared" ca="1" si="538"/>
        <v>0.14067801092366025</v>
      </c>
      <c r="K1610" s="36">
        <v>14</v>
      </c>
    </row>
    <row r="1611" spans="1:11" x14ac:dyDescent="0.25">
      <c r="A1611" s="13" t="s">
        <v>7</v>
      </c>
      <c r="B1611" s="29">
        <v>46174</v>
      </c>
      <c r="C1611" s="20">
        <v>0.13001299999999999</v>
      </c>
      <c r="D1611" s="30">
        <f ca="1">+IF(F1611=1,D1610*(1+C1610*F1611/365),OFFSET(D1610,-F1611+1,0)*(1+C1610*F1611/365))</f>
        <v>184.30992280919074</v>
      </c>
      <c r="E1611" s="30">
        <f>+E1605*(1+$C$1606*F1611/365)</f>
        <v>184.30992280919074</v>
      </c>
      <c r="F1611" s="32">
        <f t="shared" si="559"/>
        <v>6</v>
      </c>
      <c r="G1611" s="20">
        <f t="shared" ca="1" si="556"/>
        <v>0.12710136387064624</v>
      </c>
      <c r="H1611" s="20">
        <f t="shared" ca="1" si="536"/>
        <v>0.1312925696181555</v>
      </c>
      <c r="I1611" s="20">
        <f t="shared" ca="1" si="537"/>
        <v>0.13701341102675066</v>
      </c>
      <c r="J1611" s="20">
        <f t="shared" ca="1" si="538"/>
        <v>0.14060278904179857</v>
      </c>
      <c r="K1611" s="36">
        <v>14</v>
      </c>
    </row>
    <row r="1612" spans="1:11" x14ac:dyDescent="0.25">
      <c r="A1612" s="13" t="s">
        <v>7</v>
      </c>
      <c r="B1612" s="29">
        <v>46175</v>
      </c>
      <c r="C1612" s="20">
        <v>0.13022500000000001</v>
      </c>
      <c r="D1612" s="30">
        <f ca="1">+IF(F1612=1,D1611*(1+C1611*F1612/365),OFFSET(D1611,-F1612+1,0)*(1+C1611*F1612/365))</f>
        <v>184.37557400369536</v>
      </c>
      <c r="E1612" s="30">
        <f>+E1611*(1+$C$1611*F1612/365)</f>
        <v>184.37557400369536</v>
      </c>
      <c r="F1612" s="32">
        <f t="shared" ref="F1612" si="560">IF(A1611="Working day",1,(IF(A1610="Working day",2,(IF(A1609="Working day",3,IF(A1608="Working day",4,IF(A1607="Working day",5,IF(A1606="Working day",6,7))))))))</f>
        <v>1</v>
      </c>
      <c r="G1612" s="20">
        <f t="shared" ref="G1612" ca="1" si="561">(D1612/OFFSET(D1612,-7,0)-1)*365/7</f>
        <v>0.12792107867205701</v>
      </c>
      <c r="H1612" s="20">
        <f t="shared" ca="1" si="536"/>
        <v>0.13114695001555116</v>
      </c>
      <c r="I1612" s="20">
        <f t="shared" ca="1" si="537"/>
        <v>0.13693447101112236</v>
      </c>
      <c r="J1612" s="20">
        <f t="shared" ca="1" si="538"/>
        <v>0.14054728187007651</v>
      </c>
      <c r="K1612" s="36">
        <v>14</v>
      </c>
    </row>
    <row r="1613" spans="1:11" x14ac:dyDescent="0.25">
      <c r="A1613" s="13" t="s">
        <v>7</v>
      </c>
      <c r="B1613" s="29">
        <v>46176</v>
      </c>
      <c r="C1613" s="20">
        <v>0.13005700000000001</v>
      </c>
      <c r="D1613" s="30">
        <f ca="1">+IF(F1613=1,D1612*(1+C1612*F1613/365),OFFSET(D1612,-F1613+1,0)*(1+C1612*F1613/365))</f>
        <v>184.44135567252997</v>
      </c>
      <c r="E1613" s="30">
        <f>+E1612*(1+$C$1612*F1613/365)</f>
        <v>184.44135567252997</v>
      </c>
      <c r="F1613" s="32">
        <f t="shared" ref="F1613" si="562">IF(A1612="Working day",1,(IF(A1611="Working day",2,(IF(A1610="Working day",3,IF(A1609="Working day",4,IF(A1608="Working day",5,IF(A1607="Working day",6,7))))))))</f>
        <v>1</v>
      </c>
      <c r="G1613" s="20">
        <f t="shared" ref="G1613" ca="1" si="563">(D1613/OFFSET(D1613,-7,0)-1)*365/7</f>
        <v>0.12830731786032556</v>
      </c>
      <c r="H1613" s="20">
        <f t="shared" ca="1" si="536"/>
        <v>0.13101013693423946</v>
      </c>
      <c r="I1613" s="20">
        <f t="shared" ca="1" si="537"/>
        <v>0.13685990707707876</v>
      </c>
      <c r="J1613" s="20">
        <f t="shared" ca="1" si="538"/>
        <v>0.14049169895496064</v>
      </c>
      <c r="K1613" s="36">
        <v>14</v>
      </c>
    </row>
    <row r="1614" spans="1:11" x14ac:dyDescent="0.25">
      <c r="A1614" s="13" t="s">
        <v>7</v>
      </c>
      <c r="B1614" s="29">
        <v>46177</v>
      </c>
      <c r="C1614" s="20">
        <v>0.13072</v>
      </c>
      <c r="D1614" s="30">
        <f ca="1">+IF(F1614=1,D1613*(1+C1613*F1614/365),OFFSET(D1613,-F1614+1,0)*(1+C1613*F1614/365))</f>
        <v>184.50707591744694</v>
      </c>
      <c r="E1614" s="30">
        <f>+E1613*(1+C1613*F1614/365)</f>
        <v>184.50707591744694</v>
      </c>
      <c r="F1614" s="32">
        <f t="shared" ref="F1614" si="564">IF(A1613="Working day",1,(IF(A1612="Working day",2,(IF(A1611="Working day",3,IF(A1610="Working day",4,IF(A1609="Working day",5,IF(A1608="Working day",6,7))))))))</f>
        <v>1</v>
      </c>
      <c r="G1614" s="20">
        <f t="shared" ref="G1614" ca="1" si="565">(D1614/OFFSET(D1614,-7,0)-1)*365/7</f>
        <v>0.12867588571985619</v>
      </c>
      <c r="H1614" s="20">
        <f t="shared" ca="1" si="536"/>
        <v>0.13087430592883909</v>
      </c>
      <c r="I1614" s="20">
        <f t="shared" ca="1" si="537"/>
        <v>0.13677843254106239</v>
      </c>
      <c r="J1614" s="20">
        <f t="shared" ca="1" si="538"/>
        <v>0.1404582131256831</v>
      </c>
      <c r="K1614" s="36">
        <v>14</v>
      </c>
    </row>
    <row r="1615" spans="1:11" x14ac:dyDescent="0.25">
      <c r="A1615" s="13" t="s">
        <v>7</v>
      </c>
      <c r="B1615" s="29">
        <v>46178</v>
      </c>
      <c r="C1615" s="20">
        <v>0.13098199999999999</v>
      </c>
      <c r="D1615" s="30">
        <f ca="1">+IF(F1615=1,D1614*(1+C1614*F1615/365),OFFSET(D1614,-F1615+1,0)*(1+C1614*F1615/365))</f>
        <v>184.57315472556726</v>
      </c>
      <c r="E1615" s="30">
        <f>+E1614*(1+C1614*F1615/365)</f>
        <v>184.57315472556726</v>
      </c>
      <c r="F1615" s="32">
        <f t="shared" ref="F1615" si="566">IF(A1614="Working day",1,(IF(A1613="Working day",2,(IF(A1612="Working day",3,IF(A1611="Working day",4,IF(A1610="Working day",5,IF(A1609="Working day",6,7))))))))</f>
        <v>1</v>
      </c>
      <c r="G1615" s="20">
        <f t="shared" ref="G1615" ca="1" si="567">(D1615/OFFSET(D1615,-7,0)-1)*365/7</f>
        <v>0.12914574312127644</v>
      </c>
      <c r="H1615" s="20">
        <f t="shared" ca="1" si="536"/>
        <v>0.13076885528195936</v>
      </c>
      <c r="I1615" s="20">
        <f t="shared" ca="1" si="537"/>
        <v>0.13671296471325914</v>
      </c>
      <c r="J1615" s="20">
        <f t="shared" ca="1" si="538"/>
        <v>0.14042896426820342</v>
      </c>
      <c r="K1615" s="36">
        <v>14</v>
      </c>
    </row>
    <row r="1616" spans="1:11" x14ac:dyDescent="0.25">
      <c r="A1616" s="23" t="s">
        <v>6</v>
      </c>
      <c r="B1616" s="24">
        <v>46179</v>
      </c>
      <c r="C1616" s="28">
        <v>0.13098199999999999</v>
      </c>
      <c r="D1616" s="25">
        <f t="shared" ref="D1616:D1618" ca="1" si="568">+IF(F1616=1,D1615*(1+C1615*F1616/365),OFFSET(D1615,-F1616+1,0)*(1+C1615*F1616/365))</f>
        <v>184.63938968708032</v>
      </c>
      <c r="E1616" s="26">
        <f t="shared" ref="E1616" si="569">+E1615*(1+C1615*F1616/365)</f>
        <v>184.63938968708032</v>
      </c>
      <c r="F1616" s="27">
        <f t="shared" ref="F1616:F1618" si="570">IF(A1615="Working day",1,(IF(A1614="Working day",2,(IF(A1613="Working day",3,IF(A1612="Working day",4,IF(A1611="Working day",5,IF(A1610="Working day",6,7))))))))</f>
        <v>1</v>
      </c>
      <c r="G1616" s="28">
        <f t="shared" ref="G1616:G1618" ca="1" si="571">(D1616/OFFSET(D1616,-7,0)-1)*365/7</f>
        <v>0.12965948061519025</v>
      </c>
      <c r="H1616" s="28">
        <f t="shared" ca="1" si="536"/>
        <v>0.13068822704424021</v>
      </c>
      <c r="I1616" s="28">
        <f t="shared" ca="1" si="537"/>
        <v>0.13665109122408894</v>
      </c>
      <c r="J1616" s="28">
        <f t="shared" ca="1" si="538"/>
        <v>0.14040157080879473</v>
      </c>
      <c r="K1616" s="36">
        <v>14</v>
      </c>
    </row>
    <row r="1617" spans="1:11" x14ac:dyDescent="0.25">
      <c r="A1617" s="23" t="s">
        <v>6</v>
      </c>
      <c r="B1617" s="24">
        <v>46180</v>
      </c>
      <c r="C1617" s="28">
        <v>0.13098199999999999</v>
      </c>
      <c r="D1617" s="25">
        <f t="shared" ca="1" si="568"/>
        <v>184.70562464859339</v>
      </c>
      <c r="E1617" s="26">
        <f>+E1615*(1+C1616*F1617/365)</f>
        <v>184.70562464859339</v>
      </c>
      <c r="F1617" s="27">
        <f t="shared" si="570"/>
        <v>2</v>
      </c>
      <c r="G1617" s="28">
        <f t="shared" ca="1" si="571"/>
        <v>0.13017285974664847</v>
      </c>
      <c r="H1617" s="28">
        <f t="shared" ca="1" si="536"/>
        <v>0.13059992099886442</v>
      </c>
      <c r="I1617" s="28">
        <f t="shared" ca="1" si="537"/>
        <v>0.13658926393465234</v>
      </c>
      <c r="J1617" s="28">
        <f t="shared" ca="1" si="538"/>
        <v>0.14037419768726764</v>
      </c>
      <c r="K1617" s="36">
        <v>14</v>
      </c>
    </row>
    <row r="1618" spans="1:11" x14ac:dyDescent="0.25">
      <c r="A1618" s="13" t="s">
        <v>7</v>
      </c>
      <c r="B1618" s="29">
        <v>46181</v>
      </c>
      <c r="C1618" s="20">
        <v>0.13109999999999999</v>
      </c>
      <c r="D1618" s="30">
        <f t="shared" ca="1" si="568"/>
        <v>184.77185961010645</v>
      </c>
      <c r="E1618" s="30">
        <f>+E1615*(1+C1617*F1618/365)</f>
        <v>184.77185961010645</v>
      </c>
      <c r="F1618" s="32">
        <f t="shared" si="570"/>
        <v>3</v>
      </c>
      <c r="G1618" s="20">
        <f t="shared" ca="1" si="571"/>
        <v>0.13068588089047856</v>
      </c>
      <c r="H1618" s="20">
        <f t="shared" ca="1" si="536"/>
        <v>0.13053327252588875</v>
      </c>
      <c r="I1618" s="20">
        <f t="shared" ca="1" si="537"/>
        <v>0.13652748279322197</v>
      </c>
      <c r="J1618" s="20">
        <f t="shared" ca="1" si="538"/>
        <v>0.14032535305095045</v>
      </c>
      <c r="K1618" s="36">
        <v>14</v>
      </c>
    </row>
    <row r="1619" spans="1:11" x14ac:dyDescent="0.25">
      <c r="A1619" s="13" t="s">
        <v>7</v>
      </c>
      <c r="B1619" s="29">
        <v>46182</v>
      </c>
      <c r="C1619" s="20">
        <v>0.13144700000000001</v>
      </c>
      <c r="D1619" s="30">
        <f t="shared" ref="D1619" ca="1" si="572">+IF(F1619=1,D1618*(1+C1618*F1619/365),OFFSET(D1618,-F1619+1,0)*(1+C1618*F1619/365))</f>
        <v>184.83822561228422</v>
      </c>
      <c r="E1619" s="30">
        <f>+E1618*(1+C1618*F1619/365)</f>
        <v>184.83822561228422</v>
      </c>
      <c r="F1619" s="32">
        <f t="shared" ref="F1619" si="573">IF(A1618="Working day",1,(IF(A1617="Working day",2,(IF(A1616="Working day",3,IF(A1615="Working day",4,IF(A1614="Working day",5,IF(A1613="Working day",6,7))))))))</f>
        <v>1</v>
      </c>
      <c r="G1619" s="20">
        <f t="shared" ref="G1619" ca="1" si="574">(D1619/OFFSET(D1619,-7,0)-1)*365/7</f>
        <v>0.13084150036640652</v>
      </c>
      <c r="H1619" s="20">
        <f t="shared" ca="1" si="536"/>
        <v>0.13047539057281701</v>
      </c>
      <c r="I1619" s="20">
        <f t="shared" ca="1" si="537"/>
        <v>0.13646607163519189</v>
      </c>
      <c r="J1619" s="20">
        <f t="shared" ca="1" si="538"/>
        <v>0.14027557104312782</v>
      </c>
      <c r="K1619" s="36">
        <v>14</v>
      </c>
    </row>
    <row r="1620" spans="1:11" x14ac:dyDescent="0.25">
      <c r="A1620" s="13" t="s">
        <v>7</v>
      </c>
      <c r="B1620" s="29">
        <v>46183</v>
      </c>
      <c r="C1620" s="20">
        <v>0.13144700000000001</v>
      </c>
      <c r="D1620" s="30">
        <f t="shared" ref="D1620" ca="1" si="575">+IF(F1620=1,D1619*(1+C1619*F1620/365),OFFSET(D1619,-F1620+1,0)*(1+C1619*F1620/365))</f>
        <v>184.90479117459122</v>
      </c>
      <c r="E1620" s="30">
        <f>+E1619*(1+C1619*F1620/365)</f>
        <v>184.90479117459122</v>
      </c>
      <c r="F1620" s="32">
        <f t="shared" ref="F1620" si="576">IF(A1619="Working day",1,(IF(A1618="Working day",2,(IF(A1617="Working day",3,IF(A1616="Working day",4,IF(A1615="Working day",5,IF(A1614="Working day",6,7))))))))</f>
        <v>1</v>
      </c>
      <c r="G1620" s="20">
        <f t="shared" ref="G1620" ca="1" si="577">(D1620/OFFSET(D1620,-7,0)-1)*365/7</f>
        <v>0.13101644742740196</v>
      </c>
      <c r="H1620" s="20">
        <f t="shared" ca="1" si="536"/>
        <v>0.13043082246514803</v>
      </c>
      <c r="I1620" s="20">
        <f t="shared" ca="1" si="537"/>
        <v>0.1364084385295708</v>
      </c>
      <c r="J1620" s="20">
        <f t="shared" ca="1" si="538"/>
        <v>0.14022671646999987</v>
      </c>
      <c r="K1620" s="36">
        <v>14</v>
      </c>
    </row>
  </sheetData>
  <pageMargins left="0.7" right="0.7" top="0.75" bottom="0.75" header="0.3" footer="0.3"/>
  <pageSetup paperSize="9" orientation="portrait" verticalDpi="90" r:id="rId1"/>
  <ignoredErrors>
    <ignoredError sqref="E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F6:J19"/>
  <sheetViews>
    <sheetView workbookViewId="0">
      <selection activeCell="H17" sqref="H17"/>
    </sheetView>
  </sheetViews>
  <sheetFormatPr defaultRowHeight="15" x14ac:dyDescent="0.25"/>
  <sheetData>
    <row r="6" spans="6:10" x14ac:dyDescent="0.25">
      <c r="F6" s="35">
        <v>13.193199999999999</v>
      </c>
      <c r="G6" s="2">
        <v>13.5</v>
      </c>
      <c r="H6" s="4">
        <f>F6-G6</f>
        <v>-0.30680000000000085</v>
      </c>
      <c r="I6" s="1"/>
      <c r="J6" s="1"/>
    </row>
    <row r="7" spans="6:10" x14ac:dyDescent="0.25">
      <c r="F7" s="35">
        <v>13.197900000000001</v>
      </c>
      <c r="G7" s="2">
        <v>13.5</v>
      </c>
      <c r="H7" s="4">
        <f>F7-G7</f>
        <v>-0.30209999999999937</v>
      </c>
      <c r="I7" s="1"/>
      <c r="J7" s="1"/>
    </row>
    <row r="8" spans="6:10" x14ac:dyDescent="0.25">
      <c r="F8" s="35">
        <v>13.344700000000001</v>
      </c>
      <c r="G8" s="2">
        <v>13.5</v>
      </c>
      <c r="H8" s="4">
        <f>F8-G8</f>
        <v>-0.15529999999999866</v>
      </c>
      <c r="I8" s="1"/>
      <c r="J8" s="1"/>
    </row>
    <row r="9" spans="6:10" x14ac:dyDescent="0.25">
      <c r="F9" s="35">
        <v>13.347200000000001</v>
      </c>
      <c r="G9" s="2">
        <v>13.5</v>
      </c>
      <c r="H9" s="4">
        <f>F9-G9</f>
        <v>-0.15279999999999916</v>
      </c>
      <c r="I9" s="1"/>
      <c r="J9" s="1"/>
    </row>
    <row r="10" spans="6:10" x14ac:dyDescent="0.25">
      <c r="F10" s="35">
        <v>13</v>
      </c>
      <c r="G10" s="2">
        <v>13.5</v>
      </c>
      <c r="H10" s="4">
        <f>F10-G10</f>
        <v>-0.5</v>
      </c>
      <c r="I10" s="1"/>
      <c r="J10" s="1"/>
    </row>
    <row r="11" spans="6:10" x14ac:dyDescent="0.25">
      <c r="F11" s="4"/>
      <c r="G11" s="2"/>
      <c r="H11" s="4">
        <f>SUM(H6:H10)</f>
        <v>-1.416999999999998</v>
      </c>
      <c r="I11" s="1"/>
      <c r="J11" s="1"/>
    </row>
    <row r="12" spans="6:10" x14ac:dyDescent="0.25">
      <c r="F12" s="4"/>
      <c r="G12" s="2"/>
      <c r="H12" s="2"/>
      <c r="I12" s="1">
        <f>H11/5</f>
        <v>-0.2833999999999996</v>
      </c>
      <c r="J12" s="34">
        <f>G10+I12</f>
        <v>13.2166</v>
      </c>
    </row>
    <row r="13" spans="6:10" x14ac:dyDescent="0.25">
      <c r="F13" s="4"/>
      <c r="G13" s="2"/>
      <c r="H13" s="2"/>
      <c r="I13" s="1"/>
      <c r="J13" s="1"/>
    </row>
    <row r="15" spans="6:10" x14ac:dyDescent="0.25">
      <c r="F15" s="35"/>
    </row>
    <row r="16" spans="6:10" x14ac:dyDescent="0.25">
      <c r="F16" s="35"/>
    </row>
    <row r="17" spans="6:6" x14ac:dyDescent="0.25">
      <c r="F17" s="35"/>
    </row>
    <row r="18" spans="6:6" x14ac:dyDescent="0.25">
      <c r="F18" s="35"/>
    </row>
    <row r="19" spans="6:6" x14ac:dyDescent="0.25">
      <c r="F19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d45786f-a737-4735-8af6-df12fb6939a2" origin="userSelected"/>
</file>

<file path=customXml/itemProps1.xml><?xml version="1.0" encoding="utf-8"?>
<ds:datastoreItem xmlns:ds="http://schemas.openxmlformats.org/officeDocument/2006/customXml" ds:itemID="{10517C46-B905-4A9D-93A0-5396F5FFB83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Fikratbek Jalilov</dc:creator>
  <cp:keywords>[EBRD]</cp:keywords>
  <cp:lastModifiedBy>Администратор</cp:lastModifiedBy>
  <cp:lastPrinted>2026-02-06T12:56:06Z</cp:lastPrinted>
  <dcterms:created xsi:type="dcterms:W3CDTF">2022-07-20T11:03:50Z</dcterms:created>
  <dcterms:modified xsi:type="dcterms:W3CDTF">2026-06-10T09:02:45Z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ffa4d65e-162c-41cb-b671-7b8cf9b5554a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GuacBZ9aAceZ8JhH3VaneYRzBUKHHU1h</vt:lpwstr>
  </property>
</Properties>
</file>